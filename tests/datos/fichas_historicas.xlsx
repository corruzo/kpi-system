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rvicio prestado" sheetId="1" state="visible" r:id="rId3"/>
    <sheet name="Calidad de servicio" sheetId="2" state="visible" r:id="rId4"/>
    <sheet name="Tiempo ejecución" sheetId="3" state="visible" r:id="rId5"/>
    <sheet name="Obsolescencia" sheetId="4" state="visible" r:id="rId6"/>
    <sheet name="Mejora digital" sheetId="5" state="visible" r:id="rId7"/>
  </sheets>
  <definedNames>
    <definedName function="false" hidden="false" localSheetId="1" name="_xlnm.Print_Area" vbProcedure="false">'Calidad de servicio'!$B$2:$W$60</definedName>
    <definedName function="false" hidden="false" localSheetId="4" name="_xlnm.Print_Area" vbProcedure="false">'Mejora digital'!$B$2:$W$60</definedName>
    <definedName function="false" hidden="false" localSheetId="3" name="_xlnm.Print_Area" vbProcedure="false">Obsolescencia!$B$2:$W$60</definedName>
    <definedName function="false" hidden="false" localSheetId="0" name="_xlnm.Print_Area" vbProcedure="false">'Servicio prestado'!$B$2:$W$60</definedName>
    <definedName function="false" hidden="false" localSheetId="2" name="_xlnm.Print_Area" vbProcedure="false">'Tiempo ejecución'!$B$2:$W$60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<sst xmlns="http://schemas.openxmlformats.org/spreadsheetml/2006/main" count="1294" uniqueCount="222">
  <si>
    <t xml:space="preserve">               </t>
  </si>
  <si>
    <t xml:space="preserve">TRIPOLIVEN, C.A.</t>
  </si>
  <si>
    <t xml:space="preserve">FICHA TÉCNICA DE INDICADOR DE GESTIÓN</t>
  </si>
  <si>
    <t xml:space="preserve">Seguimiento de:</t>
  </si>
  <si>
    <t xml:space="preserve">Gerencia de Normalización y Calidad</t>
  </si>
  <si>
    <t xml:space="preserve">Desempeño de proceso</t>
  </si>
  <si>
    <t xml:space="preserve">Sistemas de información y comunicación</t>
  </si>
  <si>
    <t xml:space="preserve">Proporcionar y mantener el hardware y software requerido por los procesos del sistema de gestión de la calidad para el manejo de información y comunicación en las funciones administrativas de los procesos de la organización. </t>
  </si>
  <si>
    <t xml:space="preserve">DEFINICIÓN DEL INDICADOR E INFORMACIÓN PARA LA MEDICIÓN</t>
  </si>
  <si>
    <t xml:space="preserve">Nombre del indicador</t>
  </si>
  <si>
    <t xml:space="preserve">Servicio prestado (SP)</t>
  </si>
  <si>
    <t xml:space="preserve">SEMÁFORO</t>
  </si>
  <si>
    <t xml:space="preserve">Unidad de medida</t>
  </si>
  <si>
    <t xml:space="preserve">%</t>
  </si>
  <si>
    <t xml:space="preserve">Meta</t>
  </si>
  <si>
    <t xml:space="preserve">96  Mín.</t>
  </si>
  <si>
    <t xml:space="preserve">Frecuencia de medición</t>
  </si>
  <si>
    <t xml:space="preserve">Mensual</t>
  </si>
  <si>
    <t xml:space="preserve">Min.</t>
  </si>
  <si>
    <t xml:space="preserve">Max.</t>
  </si>
  <si>
    <t xml:space="preserve">Fórmula de cálculo</t>
  </si>
  <si>
    <t xml:space="preserve">SP = SG*100/SR
SG = solicitudes gestionadas
SR = Solicitudes pendientes</t>
  </si>
  <si>
    <t xml:space="preserve">Fuente de la información</t>
  </si>
  <si>
    <t xml:space="preserve">Solicitudes de trabajos de sistemas (DSIS006)</t>
  </si>
  <si>
    <t xml:space="preserve">Ejercicio Fiscal</t>
  </si>
  <si>
    <t xml:space="preserve">2025-2026</t>
  </si>
  <si>
    <t xml:space="preserve">RESPONSABILIDADES</t>
  </si>
  <si>
    <t xml:space="preserve">Gerencia</t>
  </si>
  <si>
    <t xml:space="preserve">Gerencia de Recursos Humanos</t>
  </si>
  <si>
    <t xml:space="preserve">Departamento</t>
  </si>
  <si>
    <t xml:space="preserve">Sistemas</t>
  </si>
  <si>
    <t xml:space="preserve">Líder de proceso</t>
  </si>
  <si>
    <t xml:space="preserve">Jefe de sistemas</t>
  </si>
  <si>
    <t xml:space="preserve">Responsable de medición</t>
  </si>
  <si>
    <t xml:space="preserve">Persona 15</t>
  </si>
  <si>
    <t xml:space="preserve">Responsable de registro</t>
  </si>
  <si>
    <t xml:space="preserve">Responsable de análisis</t>
  </si>
  <si>
    <t xml:space="preserve">RESULTADOS DE LAS DETERMINACIONES</t>
  </si>
  <si>
    <t xml:space="preserve">MESES</t>
  </si>
  <si>
    <t xml:space="preserve">Solicitudes gestionadas</t>
  </si>
  <si>
    <t xml:space="preserve">Solicitudes pendientes</t>
  </si>
  <si>
    <t xml:space="preserve">VALORES DEL INDICADOR</t>
  </si>
  <si>
    <t xml:space="preserve">Periodo</t>
  </si>
  <si>
    <t xml:space="preserve">Indicador</t>
  </si>
  <si>
    <t xml:space="preserve">ANÁLISIS Y EVALUACIÓN DE RESULTADOS</t>
  </si>
  <si>
    <t xml:space="preserve">Resultados del análisis</t>
  </si>
  <si>
    <t xml:space="preserve">Correcciones, oportunidades o necesidades de mejora, propuestas de cambios y adecuación de recursos</t>
  </si>
  <si>
    <t xml:space="preserve">Solicitud de trabajo DSIS-006-2655, generada el 27/10/2025, aprobada por la gerencia de planta el 31/10/2025, enviada para su aprobación adicional el 31/10/2025 y aprobada el 03/11/2025.</t>
  </si>
  <si>
    <t xml:space="preserve">Se registra como pendiente en el mes de Noviembre</t>
  </si>
  <si>
    <t xml:space="preserve">Solicitud de trabajo DSIS-006-2676 generada el 23/12/2025: Queda pendiente por falta de aprobación y disfrute de vacaciones.</t>
  </si>
  <si>
    <t xml:space="preserve">Se registra como pendiente en el mes de Enero 2026</t>
  </si>
  <si>
    <t xml:space="preserve">Solicitud de trabajo DSIS-006-2686 generada el 29/01/2026: Queda pendiente por falta de aprobación</t>
  </si>
  <si>
    <t xml:space="preserve">Se registra como pendiente en el mes de Febrero 2026</t>
  </si>
  <si>
    <t xml:space="preserve">1) Solicitud de trabajo DSIS-006-2691 generada 09/02/2026: No ejecutada por falta de aprobacion. 2) DSIS-006-2693 generada 11/02/2026: No finalizada por falta de aprobación para la creación del usuario en los diferentes sistemas. Formato DSIS-001-308</t>
  </si>
  <si>
    <t xml:space="preserve">Se registran las dos solicitudes como pendiente en el mes de Marzo 2026.</t>
  </si>
  <si>
    <t xml:space="preserve">NOTAS</t>
  </si>
  <si>
    <t xml:space="preserve">NC-16-7</t>
  </si>
  <si>
    <t xml:space="preserve">CELDA</t>
  </si>
  <si>
    <t xml:space="preserve">Gerencias:</t>
  </si>
  <si>
    <t xml:space="preserve">Departamentos:</t>
  </si>
  <si>
    <t xml:space="preserve">Cargos:</t>
  </si>
  <si>
    <t xml:space="preserve">Nombre:</t>
  </si>
  <si>
    <t xml:space="preserve">Período</t>
  </si>
  <si>
    <t xml:space="preserve">B6</t>
  </si>
  <si>
    <t xml:space="preserve">B8</t>
  </si>
  <si>
    <t xml:space="preserve">Gerencia de Comercialización  y Calidad</t>
  </si>
  <si>
    <t xml:space="preserve">Almacén</t>
  </si>
  <si>
    <t xml:space="preserve">Coordinador administrativo de planta</t>
  </si>
  <si>
    <t xml:space="preserve">Persona 1</t>
  </si>
  <si>
    <t xml:space="preserve">Frecuencia</t>
  </si>
  <si>
    <t xml:space="preserve">Oct.</t>
  </si>
  <si>
    <t xml:space="preserve">Nov.</t>
  </si>
  <si>
    <t xml:space="preserve">Dic.</t>
  </si>
  <si>
    <t xml:space="preserve">Ene.</t>
  </si>
  <si>
    <t xml:space="preserve">Feb.</t>
  </si>
  <si>
    <t xml:space="preserve">Mar.</t>
  </si>
  <si>
    <t xml:space="preserve">Abr.</t>
  </si>
  <si>
    <t xml:space="preserve">May.</t>
  </si>
  <si>
    <t xml:space="preserve">Jun.</t>
  </si>
  <si>
    <t xml:space="preserve">Jul.</t>
  </si>
  <si>
    <t xml:space="preserve">Ago.</t>
  </si>
  <si>
    <t xml:space="preserve">Sep.</t>
  </si>
  <si>
    <t xml:space="preserve">Objetivo organizacional</t>
  </si>
  <si>
    <t xml:space="preserve">OBJETIVO ORGANIZACIONAL</t>
  </si>
  <si>
    <t xml:space="preserve">OBJETIVO ESPECÍFICO</t>
  </si>
  <si>
    <t xml:space="preserve">Gerencia General</t>
  </si>
  <si>
    <t xml:space="preserve">Compras </t>
  </si>
  <si>
    <t xml:space="preserve">Coordinador de control de calidad</t>
  </si>
  <si>
    <t xml:space="preserve">Persona 2</t>
  </si>
  <si>
    <t xml:space="preserve">Bimestral</t>
  </si>
  <si>
    <t xml:space="preserve">No Aplica</t>
  </si>
  <si>
    <t xml:space="preserve">PROCESO</t>
  </si>
  <si>
    <t xml:space="preserve">OBJETIVO DEL PROCESO</t>
  </si>
  <si>
    <t xml:space="preserve">Gerencia de Planta</t>
  </si>
  <si>
    <t xml:space="preserve">Control de Calidad</t>
  </si>
  <si>
    <t xml:space="preserve">Coordinador de mercadeo y tráfico</t>
  </si>
  <si>
    <t xml:space="preserve">Persona 3</t>
  </si>
  <si>
    <t xml:space="preserve">Trimestral</t>
  </si>
  <si>
    <t xml:space="preserve">Desempeño de proveedor externo</t>
  </si>
  <si>
    <t xml:space="preserve">BIEN o SERVICIO</t>
  </si>
  <si>
    <t xml:space="preserve">Coordinación Administrativa de GP.</t>
  </si>
  <si>
    <t xml:space="preserve">Coordinador de mercadeo y ventas</t>
  </si>
  <si>
    <t xml:space="preserve">Persona 4</t>
  </si>
  <si>
    <t xml:space="preserve">Cuatrimestral</t>
  </si>
  <si>
    <t xml:space="preserve">Finanzas</t>
  </si>
  <si>
    <t xml:space="preserve">Coordinador de normalización y calidad</t>
  </si>
  <si>
    <t xml:space="preserve">Persona 5</t>
  </si>
  <si>
    <t xml:space="preserve">Semestral</t>
  </si>
  <si>
    <t xml:space="preserve">N°</t>
  </si>
  <si>
    <t xml:space="preserve">Objetivo</t>
  </si>
  <si>
    <t xml:space="preserve">Ingeniería de Procesos</t>
  </si>
  <si>
    <t xml:space="preserve">Gerente de comercialización y calidad</t>
  </si>
  <si>
    <t xml:space="preserve">Persona 6</t>
  </si>
  <si>
    <t xml:space="preserve">Eventual</t>
  </si>
  <si>
    <t xml:space="preserve">Mejorar la competitividad de los productos consolidados en el mercado nacional</t>
  </si>
  <si>
    <t xml:space="preserve">Mantenimiento y Proyectos</t>
  </si>
  <si>
    <t xml:space="preserve">Gerente de planta</t>
  </si>
  <si>
    <t xml:space="preserve">Persona 7</t>
  </si>
  <si>
    <t xml:space="preserve">Lograr participación en el sector agropecuario con fertilizantes y enmiendas granulados</t>
  </si>
  <si>
    <t xml:space="preserve">Mercadeo y Ventas</t>
  </si>
  <si>
    <t xml:space="preserve">Gerente de recursos humanos</t>
  </si>
  <si>
    <t xml:space="preserve">Persona 8</t>
  </si>
  <si>
    <t xml:space="preserve">Mejorar el sistema de gestión de la calidad con la Norma ISO 9001:2015.</t>
  </si>
  <si>
    <t xml:space="preserve">Normalización</t>
  </si>
  <si>
    <t xml:space="preserve">Gerente general</t>
  </si>
  <si>
    <t xml:space="preserve">Persona 9</t>
  </si>
  <si>
    <t xml:space="preserve">Satisfacer los requerimientos de formació del personal que deriven de los nuevos procesos o adecuaciones de los actuales.</t>
  </si>
  <si>
    <t xml:space="preserve">Producción</t>
  </si>
  <si>
    <t xml:space="preserve">Ingeniero de procesos</t>
  </si>
  <si>
    <t xml:space="preserve">Persona 11</t>
  </si>
  <si>
    <t xml:space="preserve">Impulsar la implementación de un sistema de seguridad y salud laboral con base en la Norma ISO 45001:2023.</t>
  </si>
  <si>
    <t xml:space="preserve">Recursos Humanos</t>
  </si>
  <si>
    <t xml:space="preserve">Jefe de almacén</t>
  </si>
  <si>
    <t xml:space="preserve">Persona 12</t>
  </si>
  <si>
    <t xml:space="preserve">Cumplir las metas presupuestadas de producción y ventas en volumen, costos y precios.</t>
  </si>
  <si>
    <t xml:space="preserve">Seguridad y Salud en el Trabajo</t>
  </si>
  <si>
    <t xml:space="preserve">Jefe de compras</t>
  </si>
  <si>
    <t xml:space="preserve">Persona 10</t>
  </si>
  <si>
    <t xml:space="preserve">Lograr reducción de costos unitarios de producción y gastos generales controlables</t>
  </si>
  <si>
    <t xml:space="preserve">Jefe de finanzas</t>
  </si>
  <si>
    <t xml:space="preserve">Persona 13</t>
  </si>
  <si>
    <t xml:space="preserve">Impulsar la implementación de un sistema de gestión ambiental con base en la Norma ISO 14001:2015</t>
  </si>
  <si>
    <t xml:space="preserve">Jefe de mantenimiento y proyectos</t>
  </si>
  <si>
    <t xml:space="preserve">Persona 14</t>
  </si>
  <si>
    <t xml:space="preserve">Jefe de mercadeo y ventas</t>
  </si>
  <si>
    <t xml:space="preserve">Jefe de planta </t>
  </si>
  <si>
    <t xml:space="preserve">Persona 16</t>
  </si>
  <si>
    <t xml:space="preserve">Jefe de recursos humanos</t>
  </si>
  <si>
    <t xml:space="preserve">Persona 17</t>
  </si>
  <si>
    <t xml:space="preserve">Jefe de seguridad y salud en el trabajo</t>
  </si>
  <si>
    <t xml:space="preserve">Persona 18</t>
  </si>
  <si>
    <t xml:space="preserve">Persona 19</t>
  </si>
  <si>
    <t xml:space="preserve">Persona 20</t>
  </si>
  <si>
    <t xml:space="preserve">Persona 21</t>
  </si>
  <si>
    <t xml:space="preserve">Persona 22</t>
  </si>
  <si>
    <t xml:space="preserve">Persona 23</t>
  </si>
  <si>
    <t xml:space="preserve">Persona 24</t>
  </si>
  <si>
    <t xml:space="preserve">Persona 25</t>
  </si>
  <si>
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</si>
  <si>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 xml:space="preserve">Almacenamiento de materia prima</t>
  </si>
  <si>
    <t xml:space="preserve">Mín</t>
  </si>
  <si>
    <t xml:space="preserve">Máx</t>
  </si>
  <si>
    <t xml:space="preserve">Almacenamiento de materiales y repuestos</t>
  </si>
  <si>
    <t xml:space="preserve">Almacenamiento de producto terminado</t>
  </si>
  <si>
    <t xml:space="preserve">Cierre contable</t>
  </si>
  <si>
    <t xml:space="preserve">Compra de ácido sulfúrico</t>
  </si>
  <si>
    <t xml:space="preserve">Compra de materia prima importada o adquirida a Pequiven.</t>
  </si>
  <si>
    <t xml:space="preserve">Compra de servicios</t>
  </si>
  <si>
    <t xml:space="preserve">Compras de bienes</t>
  </si>
  <si>
    <t xml:space="preserve">Control de equipos de medición y ensayo de productos</t>
  </si>
  <si>
    <t xml:space="preserve">Control de los equipos de medición de planta</t>
  </si>
  <si>
    <t xml:space="preserve">Desarrollo de competencias</t>
  </si>
  <si>
    <t xml:space="preserve">Desarrollo de productos</t>
  </si>
  <si>
    <t xml:space="preserve">Documentación del sistema de gestión de la calidad</t>
  </si>
  <si>
    <t xml:space="preserve">Evaluación de los productos</t>
  </si>
  <si>
    <t xml:space="preserve">Evaluación y mejora del sistema de gestión de la calidad</t>
  </si>
  <si>
    <t xml:space="preserve">Gestión ambiental</t>
  </si>
  <si>
    <t xml:space="preserve">Gestión gerencial</t>
  </si>
  <si>
    <t xml:space="preserve">Ingeniería de procesos</t>
  </si>
  <si>
    <t xml:space="preserve">Mantenimiento</t>
  </si>
  <si>
    <t xml:space="preserve">Nómina y beneficios contractuales y legales</t>
  </si>
  <si>
    <t xml:space="preserve">Protección física</t>
  </si>
  <si>
    <t xml:space="preserve">Proyectos de infraestructura</t>
  </si>
  <si>
    <t xml:space="preserve">Registro contable</t>
  </si>
  <si>
    <t xml:space="preserve">Seguridad y salud en el trabajo</t>
  </si>
  <si>
    <t xml:space="preserve">Selección y contratación de personal</t>
  </si>
  <si>
    <t xml:space="preserve">Servicios industriales</t>
  </si>
  <si>
    <t xml:space="preserve">Ventas</t>
  </si>
  <si>
    <t xml:space="preserve">Ventas maquila PQV</t>
  </si>
  <si>
    <t xml:space="preserve">Calidad del servicio (CS)</t>
  </si>
  <si>
    <t xml:space="preserve">100 Mín.</t>
  </si>
  <si>
    <t xml:space="preserve">CS = RS*100/ER
RS = Resultados satisfactorios
ER = Encuestas realizadas</t>
  </si>
  <si>
    <t xml:space="preserve">Resultados satisfactorios</t>
  </si>
  <si>
    <t xml:space="preserve">Encuestas realizadas</t>
  </si>
  <si>
    <t xml:space="preserve">Tiempo de ejecución, (TE)</t>
  </si>
  <si>
    <t xml:space="preserve">Dia</t>
  </si>
  <si>
    <t xml:space="preserve">3 Máx.</t>
  </si>
  <si>
    <t xml:space="preserve">TE = STEs*100/SE
STEs = Sumatoria de los tiempos de ejecución de las solicitudes ejecutadas en el mes, dia
TEs = Tiempo de ejecución de cada solicitud ejecutada en el mes
TEs =  (Fecha de ejecución – Fecha de aprobación)
SE = Cantidad de solicitudes ejecutadas en el mes</t>
  </si>
  <si>
    <t xml:space="preserve">Sumatoria de los tiempos de ejecución , dias</t>
  </si>
  <si>
    <t xml:space="preserve">Cantidad de solicitudes ejecutadas en el mes</t>
  </si>
  <si>
    <t xml:space="preserve">Resultado 2,69</t>
  </si>
  <si>
    <t xml:space="preserve">Pendiente modificar formula y definir meta. Inicialmente se esta tomando como meta 3 días promedio por solicitud</t>
  </si>
  <si>
    <t xml:space="preserve">Resultado 1,71</t>
  </si>
  <si>
    <t xml:space="preserve">Resultado 1,00</t>
  </si>
  <si>
    <t xml:space="preserve">Resultado 1,10</t>
  </si>
  <si>
    <t xml:space="preserve">DSIS-006-2693: Retraso en la entrega del computador al pasante de finanzas. El 02/03/2026 fue aprobada la solicitud de creación del usuario, formato DSIS-001-308</t>
  </si>
  <si>
    <t xml:space="preserve">DSIS-006-2714 = Modificación del formato matris de riesgo (GC-17): </t>
  </si>
  <si>
    <t xml:space="preserve">Se realiza otras modificaciones adicionales. Verificación por partte del usuario solicitante.</t>
  </si>
  <si>
    <t xml:space="preserve">Obsolescencia (IO)</t>
  </si>
  <si>
    <t xml:space="preserve">25 Máx.</t>
  </si>
  <si>
    <t xml:space="preserve">IO = EOC*100/TE
ESOC = Cantidad de equipos y sistemas en el nivel crítico de obsolescencia
TES = Cantidad total de equipos y sistemas
Definir el nivel crítico de obsolescencia</t>
  </si>
  <si>
    <t xml:space="preserve">Equipos y sistemas en nivel crítico de obsolescencia</t>
  </si>
  <si>
    <t xml:space="preserve">Total de equipos y sistemas</t>
  </si>
  <si>
    <t xml:space="preserve">Contribuir a las mejoras digitales de la documentación del SGC.</t>
  </si>
  <si>
    <t xml:space="preserve">Cantidad de mejoras digitales realizadas en el mes</t>
  </si>
  <si>
    <t xml:space="preserve">Cantidad </t>
  </si>
  <si>
    <t xml:space="preserve">1 Máx.</t>
  </si>
  <si>
    <t xml:space="preserve">MD= CAc*100/CAn
CMDR = Cantidad de mejoras digitales realizadas
</t>
  </si>
  <si>
    <t xml:space="preserve">Mejoras digitales realizadas</t>
  </si>
  <si>
    <t xml:space="preserve"> </t>
  </si>
  <si>
    <t xml:space="preserve">Base</t>
  </si>
  <si>
    <t xml:space="preserve">DSIS-006-2714 = Modificación del formato matris de riesgo (GC-17)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</si>
</sst>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%"/>
    <numFmt numFmtId="168" formatCode="General"/>
    <numFmt numFmtId="169" formatCode="0.00%"/>
  </numFmts>
  <fonts count="3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0"/>
      <color rgb="FF000000"/>
      <name val="Aparajita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FFC000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70C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00"/>
      <name val="Aparajita"/>
      <family val="2"/>
      <charset val="1"/>
    </font>
    <font>
      <sz val="10"/>
      <color rgb="FF000000"/>
      <name val="Times New Roman"/>
      <family val="1"/>
      <charset val="1"/>
    </font>
    <font>
      <sz val="10"/>
      <color theme="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b val="true"/>
      <sz val="11"/>
      <color rgb="FF000000"/>
      <name val="Aparajita"/>
      <family val="2"/>
      <charset val="1"/>
    </font>
    <font>
      <b val="true"/>
      <sz val="8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16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8"/>
      <name val="Arial"/>
      <family val="2"/>
      <charset val="1"/>
    </font>
    <font>
      <b val="true"/>
      <sz val="12"/>
      <color theme="0"/>
      <name val="Times New Roman"/>
      <family val="1"/>
      <charset val="1"/>
    </font>
    <font>
      <b val="true"/>
      <sz val="12"/>
      <name val="Times New Roman"/>
      <family val="1"/>
      <charset val="1"/>
    </font>
    <font>
      <sz val="9"/>
      <color rgb="FF595959"/>
      <name val="Calibri"/>
      <family val="2"/>
    </font>
    <font>
      <sz val="8"/>
      <color rgb="FF59595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2060"/>
        <bgColor rgb="FF000080"/>
      </patternFill>
    </fill>
    <fill>
      <patternFill patternType="solid">
        <fgColor rgb="FF797979"/>
        <bgColor rgb="FF595959"/>
      </patternFill>
    </fill>
    <fill>
      <patternFill patternType="solid">
        <fgColor rgb="FF00FF00"/>
        <bgColor rgb="FF28F82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4" tint="0.7999"/>
        <bgColor rgb="FFD9D9D9"/>
      </patternFill>
    </fill>
    <fill>
      <patternFill patternType="solid">
        <fgColor rgb="FF28F828"/>
        <bgColor rgb="FF27F92C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6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9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1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18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2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4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25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7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8" xfId="21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3" fillId="8" borderId="1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6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18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21" fillId="0" borderId="1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1" xfId="21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4" fillId="0" borderId="6" xfId="21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21" fillId="0" borderId="2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1" xfId="21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0" fillId="0" borderId="0" xfId="21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2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2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" borderId="3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7" borderId="16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16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6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1" xfId="21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4" fillId="0" borderId="6" xfId="21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21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31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2" xfId="21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7" fillId="0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21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28" fillId="0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1" xfId="21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8" xfId="23"/>
  </cellStyles>
  <dxfs count="5">
    <dxf>
      <font>
        <strike val="0"/>
      </font>
      <fill>
        <patternFill>
          <bgColor theme="0"/>
        </patternFill>
      </fill>
    </dxf>
    <dxf>
      <font>
        <b val="1"/>
        <strike val="0"/>
      </font>
      <fill>
        <patternFill>
          <bgColor rgb="FFFF0000"/>
        </patternFill>
      </fill>
    </dxf>
    <dxf>
      <font>
        <b val="1"/>
        <strike val="0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rgb="00FFFFFF"/>
      </font>
      <fill>
        <patternFill>
          <bgColor rgb="FF27F92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97979"/>
      <rgbColor rgb="FF5B9BD5"/>
      <rgbColor rgb="FF993366"/>
      <rgbColor rgb="FFFFFFCC"/>
      <rgbColor rgb="FFDE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7F92C"/>
      <rgbColor rgb="FF28F828"/>
      <rgbColor rgb="FFFFC000"/>
      <rgbColor rgb="FFFF9900"/>
      <rgbColor rgb="FFED7D31"/>
      <rgbColor rgb="FF595959"/>
      <rgbColor rgb="FFA5A5A5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0338671718041"/>
          <c:y val="0.0884897959183674"/>
          <c:w val="0.850984444061765"/>
          <c:h val="0.611102040816327"/>
        </c:manualLayout>
      </c:layout>
      <c:lineChart>
        <c:grouping val="standard"/>
        <c:varyColors val="0"/>
        <c:ser>
          <c:idx val="0"/>
          <c:order val="0"/>
          <c:tx>
            <c:strRef>
              <c:f>'Servicio prestado'!$C$25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'Servicio prestado'!$B$26:$B$37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'Servicio prestado'!$C$26:$C$37</c:f>
              <c:numCache>
                <c:formatCode>0.0</c:formatCode>
                <c:ptCount val="12"/>
                <c:pt idx="0">
                  <c:v>92.8571428571429</c:v>
                </c:pt>
                <c:pt idx="1">
                  <c:v>100</c:v>
                </c:pt>
                <c:pt idx="2">
                  <c:v>80</c:v>
                </c:pt>
                <c:pt idx="3">
                  <c:v>90.9090909090909</c:v>
                </c:pt>
                <c:pt idx="4">
                  <c:v>83.3333333333333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'Servicio prestado'!$D$25</c:f>
              <c:strCache>
                <c:ptCount val="1"/>
                <c:pt idx="0">
                  <c:v>Min.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'Servicio prestado'!$B$26:$B$37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'Servicio prestado'!$D$26:$D$37</c:f>
              <c:numCache>
                <c:formatCode>0</c:formatCode>
                <c:ptCount val="12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'Servicio prestado'!$E$25</c:f>
              <c:strCache>
                <c:ptCount val="1"/>
                <c:pt idx="0">
                  <c:v>Max.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'Servicio prestado'!$B$26:$B$37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'Servicio prestado'!$E$26:$E$37</c:f>
              <c:numCache>
                <c:formatCode>General</c:formatCode>
                <c:ptCount val="12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679111"/>
        <c:axId val="58796597"/>
      </c:lineChart>
      <c:catAx>
        <c:axId val="89679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796597"/>
        <c:crosses val="autoZero"/>
        <c:auto val="1"/>
        <c:lblAlgn val="ctr"/>
        <c:lblOffset val="100"/>
        <c:noMultiLvlLbl val="0"/>
      </c:catAx>
      <c:valAx>
        <c:axId val="587965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6791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234213766323614"/>
          <c:y val="0.898668686463819"/>
          <c:w val="0.304587548460048"/>
          <c:h val="0.081441557521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0338671718041"/>
          <c:y val="0.0884897959183674"/>
          <c:w val="0.850984444061765"/>
          <c:h val="0.611102040816327"/>
        </c:manualLayout>
      </c:layout>
      <c:lineChart>
        <c:grouping val="standard"/>
        <c:varyColors val="0"/>
        <c:ser>
          <c:idx val="0"/>
          <c:order val="0"/>
          <c:tx>
            <c:strRef>
              <c:f>'Calidad de servicio'!$C$25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'Calidad de servicio'!$B$26:$B$37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'Calidad de servicio'!$C$26:$C$37</c:f>
              <c:numCache>
                <c:formatCode>0.0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'Calidad de servicio'!$D$25</c:f>
              <c:strCache>
                <c:ptCount val="1"/>
                <c:pt idx="0">
                  <c:v>Min.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'Calidad de servicio'!$B$26:$B$37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'Calidad de servicio'!$D$26:$D$37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'Calidad de servicio'!$E$25</c:f>
              <c:strCache>
                <c:ptCount val="1"/>
                <c:pt idx="0">
                  <c:v>Max.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'Calidad de servicio'!$B$26:$B$37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'Calidad de servicio'!$E$26:$E$37</c:f>
              <c:numCache>
                <c:formatCode>General</c:formatCode>
                <c:ptCount val="12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405707"/>
        <c:axId val="86711989"/>
      </c:lineChart>
      <c:catAx>
        <c:axId val="584057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711989"/>
        <c:crosses val="autoZero"/>
        <c:auto val="1"/>
        <c:lblAlgn val="ctr"/>
        <c:lblOffset val="100"/>
        <c:noMultiLvlLbl val="0"/>
      </c:catAx>
      <c:valAx>
        <c:axId val="867119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4057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234213766323614"/>
          <c:y val="0.898668686463819"/>
          <c:w val="0.304587548460048"/>
          <c:h val="0.081441557521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0338671718041"/>
          <c:y val="0.0885042455911169"/>
          <c:w val="0.850984444061765"/>
          <c:h val="0.611038536903984"/>
        </c:manualLayout>
      </c:layout>
      <c:lineChart>
        <c:grouping val="standard"/>
        <c:varyColors val="0"/>
        <c:ser>
          <c:idx val="0"/>
          <c:order val="0"/>
          <c:tx>
            <c:strRef>
              <c:f>'Tiempo ejecución'!$C$25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'Tiempo ejecución'!$B$26:$B$37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'Tiempo ejecución'!$C$26:$C$37</c:f>
              <c:numCache>
                <c:formatCode>0.0</c:formatCode>
                <c:ptCount val="12"/>
                <c:pt idx="0">
                  <c:v>2.69230769230769</c:v>
                </c:pt>
                <c:pt idx="1">
                  <c:v>1.71428571428571</c:v>
                </c:pt>
                <c:pt idx="2">
                  <c:v>1</c:v>
                </c:pt>
                <c:pt idx="3">
                  <c:v>1.1</c:v>
                </c:pt>
                <c:pt idx="4">
                  <c:v>1.8</c:v>
                </c:pt>
                <c:pt idx="5">
                  <c:v>3.06666666666667</c:v>
                </c:pt>
                <c:pt idx="6">
                  <c:v>3.33333333333333</c:v>
                </c:pt>
                <c:pt idx="7">
                  <c:v>2.4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'Tiempo ejecución'!$D$25</c:f>
              <c:strCache>
                <c:ptCount val="1"/>
                <c:pt idx="0">
                  <c:v>Min.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'Tiempo ejecución'!$B$26:$B$37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'Tiempo ejecución'!$D$26:$D$37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'Tiempo ejecución'!$E$25</c:f>
              <c:strCache>
                <c:ptCount val="1"/>
                <c:pt idx="0">
                  <c:v>Max.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'Tiempo ejecución'!$B$26:$B$37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'Tiempo ejecución'!$E$26:$E$37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242992"/>
        <c:axId val="3345111"/>
      </c:lineChart>
      <c:catAx>
        <c:axId val="58242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45111"/>
        <c:crosses val="autoZero"/>
        <c:auto val="1"/>
        <c:lblAlgn val="ctr"/>
        <c:lblOffset val="100"/>
        <c:noMultiLvlLbl val="0"/>
      </c:catAx>
      <c:valAx>
        <c:axId val="33451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2429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234213766323614"/>
          <c:y val="0.898668686463819"/>
          <c:w val="0.304587548460048"/>
          <c:h val="0.081441557521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0338671718041"/>
          <c:y val="0.0885042455911169"/>
          <c:w val="0.850984444061765"/>
          <c:h val="0.611038536903984"/>
        </c:manualLayout>
      </c:layout>
      <c:lineChart>
        <c:grouping val="standard"/>
        <c:varyColors val="0"/>
        <c:ser>
          <c:idx val="0"/>
          <c:order val="0"/>
          <c:tx>
            <c:strRef>
              <c:f>Obsolescencia!$C$25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Obsolescencia!$B$26:$B$37</c:f>
              <c:strCache>
                <c:ptCount val="12"/>
                <c:pt idx="0">
                  <c:v>Dic.</c:v>
                </c:pt>
                <c:pt idx="1">
                  <c:v>Mar.</c:v>
                </c:pt>
                <c:pt idx="2">
                  <c:v>Jun.</c:v>
                </c:pt>
                <c:pt idx="3">
                  <c:v>Sep.</c:v>
                </c:pt>
                <c:pt idx="4">
                  <c:v>No Aplica</c:v>
                </c:pt>
                <c:pt idx="5">
                  <c:v>No Aplica</c:v>
                </c:pt>
                <c:pt idx="6">
                  <c:v>No Aplica</c:v>
                </c:pt>
                <c:pt idx="7">
                  <c:v>No Aplica</c:v>
                </c:pt>
                <c:pt idx="8">
                  <c:v>No Aplica</c:v>
                </c:pt>
                <c:pt idx="9">
                  <c:v>No Aplica</c:v>
                </c:pt>
                <c:pt idx="10">
                  <c:v>No Aplica</c:v>
                </c:pt>
                <c:pt idx="11">
                  <c:v>No Aplica</c:v>
                </c:pt>
              </c:strCache>
            </c:strRef>
          </c:cat>
          <c:val>
            <c:numRef>
              <c:f>Obsolescencia!$C$26:$C$37</c:f>
              <c:numCache>
                <c:formatCode>0.0</c:formatCode>
                <c:ptCount val="12"/>
                <c:pt idx="0">
                  <c:v>41.5094339622642</c:v>
                </c:pt>
                <c:pt idx="1">
                  <c:v>41.8181818181818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Obsolescencia!$D$25</c:f>
              <c:strCache>
                <c:ptCount val="1"/>
                <c:pt idx="0">
                  <c:v>Min.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Obsolescencia!$B$26:$B$37</c:f>
              <c:strCache>
                <c:ptCount val="12"/>
                <c:pt idx="0">
                  <c:v>Dic.</c:v>
                </c:pt>
                <c:pt idx="1">
                  <c:v>Mar.</c:v>
                </c:pt>
                <c:pt idx="2">
                  <c:v>Jun.</c:v>
                </c:pt>
                <c:pt idx="3">
                  <c:v>Sep.</c:v>
                </c:pt>
                <c:pt idx="4">
                  <c:v>No Aplica</c:v>
                </c:pt>
                <c:pt idx="5">
                  <c:v>No Aplica</c:v>
                </c:pt>
                <c:pt idx="6">
                  <c:v>No Aplica</c:v>
                </c:pt>
                <c:pt idx="7">
                  <c:v>No Aplica</c:v>
                </c:pt>
                <c:pt idx="8">
                  <c:v>No Aplica</c:v>
                </c:pt>
                <c:pt idx="9">
                  <c:v>No Aplica</c:v>
                </c:pt>
                <c:pt idx="10">
                  <c:v>No Aplica</c:v>
                </c:pt>
                <c:pt idx="11">
                  <c:v>No Aplica</c:v>
                </c:pt>
              </c:strCache>
            </c:strRef>
          </c:cat>
          <c:val>
            <c:numRef>
              <c:f>Obsolescencia!$D$26:$D$37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2"/>
          <c:order val="2"/>
          <c:tx>
            <c:strRef>
              <c:f>Obsolescencia!$E$25</c:f>
              <c:strCache>
                <c:ptCount val="1"/>
                <c:pt idx="0">
                  <c:v>Max.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Obsolescencia!$B$26:$B$37</c:f>
              <c:strCache>
                <c:ptCount val="12"/>
                <c:pt idx="0">
                  <c:v>Dic.</c:v>
                </c:pt>
                <c:pt idx="1">
                  <c:v>Mar.</c:v>
                </c:pt>
                <c:pt idx="2">
                  <c:v>Jun.</c:v>
                </c:pt>
                <c:pt idx="3">
                  <c:v>Sep.</c:v>
                </c:pt>
                <c:pt idx="4">
                  <c:v>No Aplica</c:v>
                </c:pt>
                <c:pt idx="5">
                  <c:v>No Aplica</c:v>
                </c:pt>
                <c:pt idx="6">
                  <c:v>No Aplica</c:v>
                </c:pt>
                <c:pt idx="7">
                  <c:v>No Aplica</c:v>
                </c:pt>
                <c:pt idx="8">
                  <c:v>No Aplica</c:v>
                </c:pt>
                <c:pt idx="9">
                  <c:v>No Aplica</c:v>
                </c:pt>
                <c:pt idx="10">
                  <c:v>No Aplica</c:v>
                </c:pt>
                <c:pt idx="11">
                  <c:v>No Aplica</c:v>
                </c:pt>
              </c:strCache>
            </c:strRef>
          </c:cat>
          <c:val>
            <c:numRef>
              <c:f>Obsolescencia!$E$26:$E$37</c:f>
              <c:numCache>
                <c:formatCode>0</c:formatCode>
                <c:ptCount val="1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985184"/>
        <c:axId val="90093183"/>
      </c:lineChart>
      <c:catAx>
        <c:axId val="35985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093183"/>
        <c:crosses val="autoZero"/>
        <c:auto val="1"/>
        <c:lblAlgn val="ctr"/>
        <c:lblOffset val="100"/>
        <c:noMultiLvlLbl val="0"/>
      </c:catAx>
      <c:valAx>
        <c:axId val="900931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9851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234213766323614"/>
          <c:y val="0.898668686463819"/>
          <c:w val="0.304587548460048"/>
          <c:h val="0.081441557521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0338671718041"/>
          <c:y val="0.0885042455911169"/>
          <c:w val="0.850984444061765"/>
          <c:h val="0.611038536903984"/>
        </c:manualLayout>
      </c:layout>
      <c:lineChart>
        <c:grouping val="standard"/>
        <c:varyColors val="0"/>
        <c:ser>
          <c:idx val="0"/>
          <c:order val="0"/>
          <c:tx>
            <c:strRef>
              <c:f>'Mejora digital'!$C$25</c:f>
              <c:strCache>
                <c:ptCount val="1"/>
                <c:pt idx="0">
                  <c:v>Indicador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'Mejora digital'!$B$26:$B$37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'Mejora digital'!$C$26:$C$37</c:f>
              <c:numCache>
                <c:formatCode>0.0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'Mejora digital'!$D$25</c:f>
              <c:strCache>
                <c:ptCount val="1"/>
                <c:pt idx="0">
                  <c:v>Min.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'Mejora digital'!$B$26:$B$37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'Mejora digital'!$D$26:$D$37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2"/>
          <c:order val="2"/>
          <c:tx>
            <c:strRef>
              <c:f>'Mejora digital'!$E$25</c:f>
              <c:strCache>
                <c:ptCount val="1"/>
                <c:pt idx="0">
                  <c:v>Max.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'Mejora digital'!$B$26:$B$37</c:f>
              <c:strCache>
                <c:ptCount val="12"/>
                <c:pt idx="0">
                  <c:v>Oct.</c:v>
                </c:pt>
                <c:pt idx="1">
                  <c:v>Nov.</c:v>
                </c:pt>
                <c:pt idx="2">
                  <c:v>Dic.</c:v>
                </c:pt>
                <c:pt idx="3">
                  <c:v>Ene.</c:v>
                </c:pt>
                <c:pt idx="4">
                  <c:v>Feb.</c:v>
                </c:pt>
                <c:pt idx="5">
                  <c:v>Mar.</c:v>
                </c:pt>
                <c:pt idx="6">
                  <c:v>Abr.</c:v>
                </c:pt>
                <c:pt idx="7">
                  <c:v>May.</c:v>
                </c:pt>
                <c:pt idx="8">
                  <c:v>Jun.</c:v>
                </c:pt>
                <c:pt idx="9">
                  <c:v>Jul.</c:v>
                </c:pt>
                <c:pt idx="10">
                  <c:v>Ago.</c:v>
                </c:pt>
                <c:pt idx="11">
                  <c:v>Sep.</c:v>
                </c:pt>
              </c:strCache>
            </c:strRef>
          </c:cat>
          <c:val>
            <c:numRef>
              <c:f>'Mejora digital'!$E$26:$E$37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08874"/>
        <c:axId val="38570329"/>
      </c:lineChart>
      <c:catAx>
        <c:axId val="9408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570329"/>
        <c:crosses val="autoZero"/>
        <c:auto val="1"/>
        <c:lblAlgn val="ctr"/>
        <c:lblOffset val="100"/>
        <c:noMultiLvlLbl val="0"/>
      </c:catAx>
      <c:valAx>
        <c:axId val="385703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088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234213766323614"/>
          <c:y val="0.898668686463819"/>
          <c:w val="0.304587548460048"/>
          <c:h val="0.081441557521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55800</xdr:colOff>
      <xdr:row>24</xdr:row>
      <xdr:rowOff>73080</xdr:rowOff>
    </xdr:from>
    <xdr:to>
      <xdr:col>21</xdr:col>
      <xdr:colOff>426960</xdr:colOff>
      <xdr:row>36</xdr:row>
      <xdr:rowOff>20160</xdr:rowOff>
    </xdr:to>
    <xdr:graphicFrame>
      <xdr:nvGraphicFramePr>
        <xdr:cNvPr id="0" name="Chart 1"/>
        <xdr:cNvGraphicFramePr/>
      </xdr:nvGraphicFramePr>
      <xdr:xfrm>
        <a:off x="4455000" y="7226280"/>
        <a:ext cx="6271200" cy="220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2</xdr:row>
      <xdr:rowOff>47520</xdr:rowOff>
    </xdr:from>
    <xdr:to>
      <xdr:col>1</xdr:col>
      <xdr:colOff>628200</xdr:colOff>
      <xdr:row>4</xdr:row>
      <xdr:rowOff>18720</xdr:rowOff>
    </xdr:to>
    <xdr:pic>
      <xdr:nvPicPr>
        <xdr:cNvPr id="1" name="Picture 5" descr=""/>
        <xdr:cNvPicPr/>
      </xdr:nvPicPr>
      <xdr:blipFill>
        <a:blip r:embed="rId2"/>
        <a:stretch/>
      </xdr:blipFill>
      <xdr:spPr>
        <a:xfrm>
          <a:off x="240840" y="419040"/>
          <a:ext cx="60912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55800</xdr:colOff>
      <xdr:row>24</xdr:row>
      <xdr:rowOff>73080</xdr:rowOff>
    </xdr:from>
    <xdr:to>
      <xdr:col>21</xdr:col>
      <xdr:colOff>426960</xdr:colOff>
      <xdr:row>36</xdr:row>
      <xdr:rowOff>20160</xdr:rowOff>
    </xdr:to>
    <xdr:graphicFrame>
      <xdr:nvGraphicFramePr>
        <xdr:cNvPr id="2" name="Chart 1"/>
        <xdr:cNvGraphicFramePr/>
      </xdr:nvGraphicFramePr>
      <xdr:xfrm>
        <a:off x="4455000" y="7226280"/>
        <a:ext cx="6271200" cy="220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2</xdr:row>
      <xdr:rowOff>47520</xdr:rowOff>
    </xdr:from>
    <xdr:to>
      <xdr:col>1</xdr:col>
      <xdr:colOff>628200</xdr:colOff>
      <xdr:row>4</xdr:row>
      <xdr:rowOff>18720</xdr:rowOff>
    </xdr:to>
    <xdr:pic>
      <xdr:nvPicPr>
        <xdr:cNvPr id="3" name="Picture 5" descr=""/>
        <xdr:cNvPicPr/>
      </xdr:nvPicPr>
      <xdr:blipFill>
        <a:blip r:embed="rId2"/>
        <a:stretch/>
      </xdr:blipFill>
      <xdr:spPr>
        <a:xfrm>
          <a:off x="240840" y="419040"/>
          <a:ext cx="60912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55800</xdr:colOff>
      <xdr:row>24</xdr:row>
      <xdr:rowOff>73080</xdr:rowOff>
    </xdr:from>
    <xdr:to>
      <xdr:col>21</xdr:col>
      <xdr:colOff>426960</xdr:colOff>
      <xdr:row>36</xdr:row>
      <xdr:rowOff>20160</xdr:rowOff>
    </xdr:to>
    <xdr:graphicFrame>
      <xdr:nvGraphicFramePr>
        <xdr:cNvPr id="4" name="Chart 1"/>
        <xdr:cNvGraphicFramePr/>
      </xdr:nvGraphicFramePr>
      <xdr:xfrm>
        <a:off x="4455000" y="7274160"/>
        <a:ext cx="6271200" cy="220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2</xdr:row>
      <xdr:rowOff>47520</xdr:rowOff>
    </xdr:from>
    <xdr:to>
      <xdr:col>1</xdr:col>
      <xdr:colOff>628200</xdr:colOff>
      <xdr:row>4</xdr:row>
      <xdr:rowOff>18720</xdr:rowOff>
    </xdr:to>
    <xdr:pic>
      <xdr:nvPicPr>
        <xdr:cNvPr id="5" name="Picture 5" descr=""/>
        <xdr:cNvPicPr/>
      </xdr:nvPicPr>
      <xdr:blipFill>
        <a:blip r:embed="rId2"/>
        <a:stretch/>
      </xdr:blipFill>
      <xdr:spPr>
        <a:xfrm>
          <a:off x="240840" y="419040"/>
          <a:ext cx="60912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55800</xdr:colOff>
      <xdr:row>24</xdr:row>
      <xdr:rowOff>73080</xdr:rowOff>
    </xdr:from>
    <xdr:to>
      <xdr:col>21</xdr:col>
      <xdr:colOff>426960</xdr:colOff>
      <xdr:row>36</xdr:row>
      <xdr:rowOff>20160</xdr:rowOff>
    </xdr:to>
    <xdr:graphicFrame>
      <xdr:nvGraphicFramePr>
        <xdr:cNvPr id="6" name="Chart 1"/>
        <xdr:cNvGraphicFramePr/>
      </xdr:nvGraphicFramePr>
      <xdr:xfrm>
        <a:off x="4455000" y="7483680"/>
        <a:ext cx="6271200" cy="220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2</xdr:row>
      <xdr:rowOff>47520</xdr:rowOff>
    </xdr:from>
    <xdr:to>
      <xdr:col>1</xdr:col>
      <xdr:colOff>628200</xdr:colOff>
      <xdr:row>4</xdr:row>
      <xdr:rowOff>18720</xdr:rowOff>
    </xdr:to>
    <xdr:pic>
      <xdr:nvPicPr>
        <xdr:cNvPr id="7" name="Picture 5" descr=""/>
        <xdr:cNvPicPr/>
      </xdr:nvPicPr>
      <xdr:blipFill>
        <a:blip r:embed="rId2"/>
        <a:stretch/>
      </xdr:blipFill>
      <xdr:spPr>
        <a:xfrm>
          <a:off x="240840" y="419040"/>
          <a:ext cx="60912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55800</xdr:colOff>
      <xdr:row>24</xdr:row>
      <xdr:rowOff>73080</xdr:rowOff>
    </xdr:from>
    <xdr:to>
      <xdr:col>21</xdr:col>
      <xdr:colOff>426960</xdr:colOff>
      <xdr:row>36</xdr:row>
      <xdr:rowOff>20160</xdr:rowOff>
    </xdr:to>
    <xdr:graphicFrame>
      <xdr:nvGraphicFramePr>
        <xdr:cNvPr id="8" name="Chart 1"/>
        <xdr:cNvGraphicFramePr/>
      </xdr:nvGraphicFramePr>
      <xdr:xfrm>
        <a:off x="4455000" y="7274160"/>
        <a:ext cx="6271200" cy="220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2</xdr:row>
      <xdr:rowOff>47520</xdr:rowOff>
    </xdr:from>
    <xdr:to>
      <xdr:col>1</xdr:col>
      <xdr:colOff>628200</xdr:colOff>
      <xdr:row>4</xdr:row>
      <xdr:rowOff>18720</xdr:rowOff>
    </xdr:to>
    <xdr:pic>
      <xdr:nvPicPr>
        <xdr:cNvPr id="9" name="Picture 5" descr=""/>
        <xdr:cNvPicPr/>
      </xdr:nvPicPr>
      <xdr:blipFill>
        <a:blip r:embed="rId2"/>
        <a:stretch/>
      </xdr:blipFill>
      <xdr:spPr>
        <a:xfrm>
          <a:off x="240840" y="419040"/>
          <a:ext cx="60912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2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N22" activeCellId="0" sqref="N2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9.42"/>
    <col collapsed="false" customWidth="true" hidden="false" outlineLevel="0" max="3" min="3" style="1" width="13.42"/>
    <col collapsed="false" customWidth="true" hidden="false" outlineLevel="0" max="4" min="4" style="1" width="13.57"/>
    <col collapsed="false" customWidth="true" hidden="false" outlineLevel="0" max="5" min="5" style="1" width="14.29"/>
    <col collapsed="false" customWidth="true" hidden="false" outlineLevel="0" max="6" min="6" style="1" width="8.57"/>
    <col collapsed="false" customWidth="true" hidden="false" outlineLevel="0" max="7" min="7" style="1" width="3.71"/>
    <col collapsed="false" customWidth="true" hidden="false" outlineLevel="0" max="8" min="8" style="1" width="3.57"/>
    <col collapsed="false" customWidth="true" hidden="false" outlineLevel="0" max="9" min="9" style="1" width="3"/>
    <col collapsed="false" customWidth="true" hidden="false" outlineLevel="0" max="10" min="10" style="1" width="5.29"/>
    <col collapsed="false" customWidth="true" hidden="false" outlineLevel="0" max="11" min="11" style="1" width="10.29"/>
    <col collapsed="false" customWidth="true" hidden="false" outlineLevel="0" max="12" min="12" style="1" width="3"/>
    <col collapsed="false" customWidth="true" hidden="false" outlineLevel="0" max="13" min="13" style="1" width="6.85"/>
    <col collapsed="false" customWidth="true" hidden="false" outlineLevel="0" max="14" min="14" style="1" width="6.71"/>
    <col collapsed="false" customWidth="true" hidden="false" outlineLevel="0" max="15" min="15" style="1" width="7.42"/>
    <col collapsed="false" customWidth="true" hidden="false" outlineLevel="0" max="16" min="16" style="1" width="7.15"/>
    <col collapsed="false" customWidth="true" hidden="false" outlineLevel="0" max="18" min="17" style="1" width="7"/>
    <col collapsed="false" customWidth="true" hidden="false" outlineLevel="0" max="19" min="19" style="1" width="2.29"/>
    <col collapsed="false" customWidth="true" hidden="false" outlineLevel="0" max="20" min="20" style="1" width="6.71"/>
    <col collapsed="false" customWidth="true" hidden="false" outlineLevel="0" max="21" min="21" style="1" width="3.71"/>
    <col collapsed="false" customWidth="true" hidden="false" outlineLevel="0" max="22" min="22" style="1" width="9.71"/>
    <col collapsed="false" customWidth="true" hidden="false" outlineLevel="0" max="23" min="23" style="1" width="11.14"/>
    <col collapsed="false" customWidth="true" hidden="false" outlineLevel="0" max="24" min="24" style="1" width="2.15"/>
    <col collapsed="false" customWidth="false" hidden="false" outlineLevel="0" max="26" min="25" style="1" width="11.43"/>
    <col collapsed="false" customWidth="false" hidden="false" outlineLevel="0" max="27" min="27" style="2" width="11.43"/>
    <col collapsed="false" customWidth="false" hidden="false" outlineLevel="0" max="32" min="28" style="1" width="11.43"/>
    <col collapsed="false" customWidth="true" hidden="false" outlineLevel="0" max="33" min="33" style="1" width="8.15"/>
    <col collapsed="false" customWidth="true" hidden="false" outlineLevel="0" max="34" min="34" style="1" width="8.86"/>
    <col collapsed="false" customWidth="true" hidden="false" outlineLevel="0" max="35" min="35" style="1" width="6.57"/>
    <col collapsed="false" customWidth="true" hidden="false" outlineLevel="0" max="37" min="36" style="1" width="6.29"/>
    <col collapsed="false" customWidth="true" hidden="false" outlineLevel="0" max="38" min="38" style="1" width="6"/>
    <col collapsed="false" customWidth="true" hidden="false" outlineLevel="0" max="39" min="39" style="1" width="5.57"/>
    <col collapsed="false" customWidth="true" hidden="false" outlineLevel="0" max="40" min="40" style="1" width="6.85"/>
    <col collapsed="false" customWidth="true" hidden="false" outlineLevel="0" max="41" min="41" style="1" width="5.42"/>
    <col collapsed="false" customWidth="true" hidden="false" outlineLevel="0" max="42" min="42" style="1" width="6"/>
    <col collapsed="false" customWidth="true" hidden="false" outlineLevel="0" max="43" min="43" style="1" width="6.57"/>
    <col collapsed="false" customWidth="true" hidden="false" outlineLevel="0" max="44" min="44" style="1" width="6.43"/>
    <col collapsed="false" customWidth="false" hidden="false" outlineLevel="0" max="16384" min="45" style="1" width="11.43"/>
  </cols>
  <sheetData>
    <row r="1" s="2" customFormat="true" ht="13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2" customFormat="true" ht="15.75" hidden="false" customHeight="true" outlineLevel="0" collapsed="false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1"/>
      <c r="Y2" s="1"/>
      <c r="Z2" s="1"/>
    </row>
    <row r="3" s="2" customFormat="true" ht="19.5" hidden="false" customHeight="true" outlineLevel="0" collapsed="false">
      <c r="B3" s="6"/>
      <c r="C3" s="7" t="s">
        <v>1</v>
      </c>
      <c r="D3" s="7"/>
      <c r="E3" s="7"/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3</v>
      </c>
      <c r="S3" s="9"/>
      <c r="T3" s="9"/>
      <c r="U3" s="9"/>
      <c r="V3" s="9"/>
      <c r="W3" s="9"/>
      <c r="X3" s="1"/>
      <c r="Y3" s="1"/>
      <c r="Z3" s="1"/>
    </row>
    <row r="4" s="2" customFormat="true" ht="15" hidden="false" customHeight="true" outlineLevel="0" collapsed="false">
      <c r="B4" s="6"/>
      <c r="C4" s="10" t="s">
        <v>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1" t="s">
        <v>5</v>
      </c>
      <c r="S4" s="11"/>
      <c r="T4" s="11"/>
      <c r="U4" s="11"/>
      <c r="V4" s="11"/>
      <c r="W4" s="11"/>
      <c r="X4" s="1"/>
      <c r="Y4" s="1"/>
      <c r="Z4" s="1"/>
    </row>
    <row r="5" s="2" customFormat="true" ht="11.25" hidden="false" customHeight="true" outlineLevel="0" collapsed="false">
      <c r="B5" s="6"/>
      <c r="C5" s="10"/>
      <c r="D5" s="10"/>
      <c r="E5" s="1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"/>
      <c r="Y5" s="1"/>
      <c r="Z5" s="1"/>
    </row>
    <row r="6" s="2" customFormat="true" ht="19.5" hidden="false" customHeight="true" outlineLevel="0" collapsed="false">
      <c r="B6" s="12" t="str">
        <f aca="false">IF(ISBLANK(R4)," ",VLOOKUP(R4,C80:E82,2,FALSE()))</f>
        <v>PROCESO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"/>
      <c r="Y6" s="1"/>
      <c r="Z6" s="1"/>
    </row>
    <row r="7" s="2" customFormat="true" ht="30" hidden="false" customHeight="true" outlineLevel="0" collapsed="false">
      <c r="B7" s="13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"/>
      <c r="Y7" s="1"/>
      <c r="Z7" s="1"/>
    </row>
    <row r="8" s="2" customFormat="true" ht="18" hidden="false" customHeight="true" outlineLevel="0" collapsed="false">
      <c r="B8" s="12" t="str">
        <f aca="false">IF(ISBLANK(R4)," ",VLOOKUP(R4,C80:E82,3,FALSE()))</f>
        <v>OBJETIVO DEL PROCESO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"/>
      <c r="Y8" s="1"/>
      <c r="Z8" s="1"/>
    </row>
    <row r="9" s="2" customFormat="true" ht="39" hidden="false" customHeight="true" outlineLevel="0" collapsed="false">
      <c r="B9" s="13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"/>
      <c r="Y9" s="1"/>
      <c r="Z9" s="1"/>
    </row>
    <row r="10" s="2" customFormat="true" ht="24.75" hidden="false" customHeight="true" outlineLevel="0" collapsed="false">
      <c r="B10" s="14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"/>
      <c r="Y10" s="1"/>
      <c r="Z10" s="1"/>
    </row>
    <row r="11" s="2" customFormat="true" ht="30" hidden="false" customHeight="true" outlineLevel="0" collapsed="false">
      <c r="B11" s="15" t="s">
        <v>9</v>
      </c>
      <c r="C11" s="15"/>
      <c r="D11" s="16" t="s">
        <v>10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 t="s">
        <v>11</v>
      </c>
      <c r="T11" s="17"/>
      <c r="U11" s="17"/>
      <c r="V11" s="17"/>
      <c r="W11" s="17"/>
      <c r="X11" s="1"/>
      <c r="Y11" s="1"/>
      <c r="Z11" s="1"/>
    </row>
    <row r="12" s="1" customFormat="true" ht="30" hidden="false" customHeight="true" outlineLevel="0" collapsed="false">
      <c r="B12" s="18" t="s">
        <v>12</v>
      </c>
      <c r="C12" s="18"/>
      <c r="D12" s="16" t="s">
        <v>13</v>
      </c>
      <c r="E12" s="16"/>
      <c r="F12" s="16"/>
      <c r="G12" s="19" t="s">
        <v>14</v>
      </c>
      <c r="H12" s="19"/>
      <c r="I12" s="19"/>
      <c r="J12" s="19"/>
      <c r="K12" s="16" t="s">
        <v>15</v>
      </c>
      <c r="L12" s="16"/>
      <c r="M12" s="16"/>
      <c r="N12" s="20" t="s">
        <v>16</v>
      </c>
      <c r="O12" s="20"/>
      <c r="P12" s="16" t="s">
        <v>17</v>
      </c>
      <c r="Q12" s="16"/>
      <c r="R12" s="16"/>
      <c r="S12" s="21"/>
      <c r="T12" s="21"/>
      <c r="U12" s="21"/>
      <c r="V12" s="17" t="s">
        <v>18</v>
      </c>
      <c r="W12" s="17" t="s">
        <v>19</v>
      </c>
    </row>
    <row r="13" s="2" customFormat="true" ht="30" hidden="false" customHeight="true" outlineLevel="0" collapsed="false">
      <c r="B13" s="18" t="s">
        <v>20</v>
      </c>
      <c r="C13" s="18"/>
      <c r="D13" s="22" t="s">
        <v>21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3"/>
      <c r="U13" s="23"/>
      <c r="V13" s="24" t="n">
        <v>96</v>
      </c>
      <c r="W13" s="24" t="n">
        <v>500</v>
      </c>
      <c r="X13" s="1"/>
      <c r="Y13" s="1"/>
      <c r="Z13" s="1"/>
    </row>
    <row r="14" s="2" customFormat="true" ht="30" hidden="false" customHeight="true" outlineLevel="0" collapsed="false">
      <c r="B14" s="18"/>
      <c r="C14" s="18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5"/>
      <c r="T14" s="26"/>
      <c r="U14" s="27"/>
      <c r="V14" s="24" t="n">
        <v>85</v>
      </c>
      <c r="W14" s="24" t="n">
        <v>1000</v>
      </c>
      <c r="X14" s="1"/>
      <c r="Y14" s="1"/>
      <c r="Z14" s="1"/>
    </row>
    <row r="15" customFormat="false" ht="30" hidden="false" customHeight="true" outlineLevel="0" collapsed="false">
      <c r="B15" s="18"/>
      <c r="C15" s="1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8"/>
      <c r="T15" s="29"/>
      <c r="U15" s="30"/>
      <c r="V15" s="24" t="str">
        <f aca="false">CONCATENATE("&lt; ",V14)</f>
        <v>&lt; 85</v>
      </c>
      <c r="W15" s="24" t="str">
        <f aca="false">CONCATENATE("&gt; ",W14)</f>
        <v>&gt; 1000</v>
      </c>
    </row>
    <row r="16" customFormat="false" ht="30" hidden="false" customHeight="true" outlineLevel="0" collapsed="false">
      <c r="B16" s="31" t="s">
        <v>22</v>
      </c>
      <c r="C16" s="31"/>
      <c r="D16" s="32" t="s">
        <v>23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8" t="s">
        <v>24</v>
      </c>
      <c r="T16" s="18"/>
      <c r="U16" s="18"/>
      <c r="V16" s="33" t="s">
        <v>25</v>
      </c>
      <c r="W16" s="33"/>
    </row>
    <row r="17" customFormat="false" ht="14.25" hidden="false" customHeight="true" outlineLevel="0" collapsed="false">
      <c r="B17" s="34" t="s">
        <v>26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customFormat="false" ht="26.25" hidden="false" customHeight="true" outlineLevel="0" collapsed="false">
      <c r="B18" s="31" t="s">
        <v>27</v>
      </c>
      <c r="C18" s="31"/>
      <c r="D18" s="35" t="s">
        <v>28</v>
      </c>
      <c r="E18" s="35"/>
      <c r="F18" s="35"/>
      <c r="G18" s="35"/>
      <c r="H18" s="35"/>
      <c r="I18" s="31" t="s">
        <v>29</v>
      </c>
      <c r="J18" s="31"/>
      <c r="K18" s="31"/>
      <c r="L18" s="31"/>
      <c r="M18" s="16" t="s">
        <v>30</v>
      </c>
      <c r="N18" s="16"/>
      <c r="O18" s="16"/>
      <c r="P18" s="16"/>
      <c r="Q18" s="18" t="s">
        <v>31</v>
      </c>
      <c r="R18" s="18"/>
      <c r="S18" s="18"/>
      <c r="T18" s="36" t="s">
        <v>32</v>
      </c>
      <c r="U18" s="36"/>
      <c r="V18" s="36"/>
      <c r="W18" s="36"/>
      <c r="X18" s="37"/>
    </row>
    <row r="19" customFormat="false" ht="30" hidden="false" customHeight="true" outlineLevel="0" collapsed="false">
      <c r="B19" s="31" t="s">
        <v>33</v>
      </c>
      <c r="C19" s="31"/>
      <c r="D19" s="35" t="s">
        <v>34</v>
      </c>
      <c r="E19" s="35"/>
      <c r="F19" s="35"/>
      <c r="G19" s="35"/>
      <c r="H19" s="35"/>
      <c r="I19" s="18" t="s">
        <v>35</v>
      </c>
      <c r="J19" s="18"/>
      <c r="K19" s="18"/>
      <c r="L19" s="18"/>
      <c r="M19" s="16" t="s">
        <v>34</v>
      </c>
      <c r="N19" s="16"/>
      <c r="O19" s="16"/>
      <c r="P19" s="16"/>
      <c r="Q19" s="18" t="s">
        <v>36</v>
      </c>
      <c r="R19" s="18"/>
      <c r="S19" s="18"/>
      <c r="T19" s="36" t="s">
        <v>34</v>
      </c>
      <c r="U19" s="36"/>
      <c r="V19" s="36"/>
      <c r="W19" s="36"/>
    </row>
    <row r="20" customFormat="false" ht="17.25" hidden="false" customHeight="true" outlineLevel="0" collapsed="false">
      <c r="B20" s="14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24.75" hidden="false" customHeight="true" outlineLevel="0" collapsed="false">
      <c r="B21" s="38" t="s">
        <v>38</v>
      </c>
      <c r="C21" s="38"/>
      <c r="D21" s="39" t="str">
        <f aca="false">VLOOKUP(P12,$AF$79:$AR$84,2,FALSE())</f>
        <v>Oct.</v>
      </c>
      <c r="E21" s="39" t="str">
        <f aca="false">VLOOKUP(P12,$AF$79:$AR$84,3,FALSE())</f>
        <v>Nov.</v>
      </c>
      <c r="F21" s="40" t="str">
        <f aca="false">VLOOKUP(P12,$AF$79:$AR$84,4,FALSE())</f>
        <v>Dic.</v>
      </c>
      <c r="G21" s="40"/>
      <c r="H21" s="40" t="str">
        <f aca="false">VLOOKUP(P12,$AF$79:$AR$84,5,FALSE())</f>
        <v>Ene.</v>
      </c>
      <c r="I21" s="40"/>
      <c r="J21" s="40"/>
      <c r="K21" s="41" t="str">
        <f aca="false">VLOOKUP(P12,$AF$79:$AR$84,6,FALSE())</f>
        <v>Feb.</v>
      </c>
      <c r="L21" s="42" t="str">
        <f aca="false">VLOOKUP(P12,$AF$79:$AR$84,7,FALSE())</f>
        <v>Mar.</v>
      </c>
      <c r="M21" s="42"/>
      <c r="N21" s="42" t="str">
        <f aca="false">VLOOKUP(P12,$AF$79:$AR$84,8,FALSE())</f>
        <v>Abr.</v>
      </c>
      <c r="O21" s="42"/>
      <c r="P21" s="43" t="str">
        <f aca="false">VLOOKUP(P12,$AF$79:$AR$84,9,FALSE())</f>
        <v>May.</v>
      </c>
      <c r="Q21" s="43"/>
      <c r="R21" s="43" t="str">
        <f aca="false">VLOOKUP(P12,$AF$79:$AR$84,10,FALSE())</f>
        <v>Jun.</v>
      </c>
      <c r="S21" s="43"/>
      <c r="T21" s="44" t="str">
        <f aca="false">VLOOKUP(P12,$AF$79:$AR$84,11,FALSE())</f>
        <v>Jul.</v>
      </c>
      <c r="U21" s="44"/>
      <c r="V21" s="45" t="str">
        <f aca="false">VLOOKUP(P12,$AF$79:$AR$84,12,FALSE())</f>
        <v>Ago.</v>
      </c>
      <c r="W21" s="41" t="str">
        <f aca="false">VLOOKUP(P12,$AF$79:$AR$84,13,FALSE())</f>
        <v>Sep.</v>
      </c>
    </row>
    <row r="22" customFormat="false" ht="24.75" hidden="false" customHeight="true" outlineLevel="0" collapsed="false">
      <c r="B22" s="46" t="s">
        <v>39</v>
      </c>
      <c r="C22" s="46"/>
      <c r="D22" s="47" t="n">
        <v>13</v>
      </c>
      <c r="E22" s="47" t="n">
        <v>14</v>
      </c>
      <c r="F22" s="47" t="n">
        <v>4</v>
      </c>
      <c r="G22" s="47"/>
      <c r="H22" s="47" t="n">
        <v>10</v>
      </c>
      <c r="I22" s="47"/>
      <c r="J22" s="47"/>
      <c r="K22" s="47" t="n">
        <v>10</v>
      </c>
      <c r="L22" s="47" t="n">
        <v>15</v>
      </c>
      <c r="M22" s="47"/>
      <c r="N22" s="47" t="n">
        <v>9</v>
      </c>
      <c r="O22" s="47"/>
      <c r="P22" s="47" t="n">
        <v>10</v>
      </c>
      <c r="Q22" s="47"/>
      <c r="R22" s="47"/>
      <c r="S22" s="47"/>
      <c r="T22" s="47"/>
      <c r="U22" s="47"/>
      <c r="V22" s="48"/>
      <c r="W22" s="49"/>
    </row>
    <row r="23" customFormat="false" ht="24.75" hidden="false" customHeight="true" outlineLevel="0" collapsed="false">
      <c r="B23" s="50" t="s">
        <v>40</v>
      </c>
      <c r="C23" s="50"/>
      <c r="D23" s="51" t="n">
        <v>14</v>
      </c>
      <c r="E23" s="51" t="n">
        <v>14</v>
      </c>
      <c r="F23" s="47" t="n">
        <v>5</v>
      </c>
      <c r="G23" s="47"/>
      <c r="H23" s="47" t="n">
        <v>11</v>
      </c>
      <c r="I23" s="47"/>
      <c r="J23" s="47"/>
      <c r="K23" s="51" t="n">
        <v>12</v>
      </c>
      <c r="L23" s="47" t="n">
        <v>15</v>
      </c>
      <c r="M23" s="47"/>
      <c r="N23" s="47" t="n">
        <v>9</v>
      </c>
      <c r="O23" s="47"/>
      <c r="P23" s="47" t="n">
        <v>10</v>
      </c>
      <c r="Q23" s="47"/>
      <c r="R23" s="47"/>
      <c r="S23" s="47"/>
      <c r="T23" s="47"/>
      <c r="U23" s="47"/>
      <c r="V23" s="48"/>
      <c r="W23" s="52"/>
    </row>
    <row r="24" customFormat="false" ht="15" hidden="false" customHeight="true" outlineLevel="0" collapsed="false">
      <c r="B24" s="53" t="s">
        <v>41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15" hidden="false" customHeight="true" outlineLevel="0" collapsed="false">
      <c r="B25" s="54" t="s">
        <v>42</v>
      </c>
      <c r="C25" s="55" t="s">
        <v>43</v>
      </c>
      <c r="D25" s="55" t="s">
        <v>18</v>
      </c>
      <c r="E25" s="55" t="s">
        <v>19</v>
      </c>
      <c r="F25" s="56"/>
      <c r="G25" s="57"/>
      <c r="H25" s="57"/>
      <c r="I25" s="57"/>
      <c r="J25" s="57"/>
      <c r="K25" s="57"/>
      <c r="L25" s="57"/>
      <c r="M25" s="57"/>
      <c r="N25" s="58"/>
      <c r="O25" s="58"/>
      <c r="P25" s="58"/>
      <c r="Q25" s="58"/>
      <c r="R25" s="58"/>
      <c r="S25" s="59"/>
      <c r="T25" s="59"/>
      <c r="U25" s="59"/>
      <c r="V25" s="59"/>
      <c r="W25" s="59"/>
    </row>
    <row r="26" customFormat="false" ht="15" hidden="false" customHeight="true" outlineLevel="0" collapsed="false">
      <c r="B26" s="60" t="str">
        <f aca="false">D21</f>
        <v>Oct.</v>
      </c>
      <c r="C26" s="61" t="n">
        <f aca="false">IF(D23=0," ",D22*100/D23)</f>
        <v>92.8571428571429</v>
      </c>
      <c r="D26" s="62" t="n">
        <f aca="false">IF(ISBLANK($V$13)," ",$V$13)</f>
        <v>96</v>
      </c>
      <c r="E26" s="62"/>
      <c r="F26" s="63"/>
      <c r="G26" s="64"/>
      <c r="H26" s="64"/>
      <c r="I26" s="64"/>
      <c r="J26" s="64"/>
      <c r="K26" s="64"/>
      <c r="L26" s="64"/>
      <c r="M26" s="64"/>
      <c r="N26" s="58"/>
      <c r="O26" s="58"/>
      <c r="P26" s="58"/>
      <c r="Q26" s="58"/>
      <c r="R26" s="58"/>
      <c r="S26" s="65"/>
      <c r="T26" s="65"/>
      <c r="U26" s="65"/>
      <c r="V26" s="65"/>
      <c r="W26" s="65"/>
    </row>
    <row r="27" customFormat="false" ht="15" hidden="false" customHeight="true" outlineLevel="0" collapsed="false">
      <c r="B27" s="60" t="str">
        <f aca="false">E21</f>
        <v>Nov.</v>
      </c>
      <c r="C27" s="61" t="n">
        <f aca="false">IF(E23=0," ",E22*100/E23)</f>
        <v>100</v>
      </c>
      <c r="D27" s="62" t="n">
        <f aca="false">IF(ISBLANK($V$13)," ",$V$13)</f>
        <v>96</v>
      </c>
      <c r="E27" s="62"/>
      <c r="F27" s="63"/>
      <c r="G27" s="64"/>
      <c r="H27" s="64"/>
      <c r="I27" s="64"/>
      <c r="J27" s="64"/>
      <c r="K27" s="64"/>
      <c r="L27" s="64"/>
      <c r="M27" s="64"/>
      <c r="N27" s="58"/>
      <c r="O27" s="58"/>
      <c r="P27" s="58"/>
      <c r="Q27" s="58"/>
      <c r="R27" s="58"/>
      <c r="S27" s="65"/>
      <c r="T27" s="65"/>
      <c r="U27" s="65"/>
      <c r="V27" s="65"/>
      <c r="W27" s="65"/>
    </row>
    <row r="28" customFormat="false" ht="15" hidden="false" customHeight="true" outlineLevel="0" collapsed="false">
      <c r="B28" s="60" t="str">
        <f aca="false">F21</f>
        <v>Dic.</v>
      </c>
      <c r="C28" s="61" t="n">
        <f aca="false">IF(F23=0," ",F22*100/F23)</f>
        <v>80</v>
      </c>
      <c r="D28" s="62" t="n">
        <f aca="false">IF(ISBLANK($V$13)," ",$V$13)</f>
        <v>96</v>
      </c>
      <c r="E28" s="62"/>
      <c r="F28" s="63"/>
      <c r="G28" s="64"/>
      <c r="H28" s="64"/>
      <c r="I28" s="64"/>
      <c r="J28" s="64"/>
      <c r="K28" s="64"/>
      <c r="L28" s="64"/>
      <c r="M28" s="64"/>
      <c r="N28" s="58"/>
      <c r="O28" s="58"/>
      <c r="P28" s="58"/>
      <c r="Q28" s="58"/>
      <c r="R28" s="58"/>
      <c r="S28" s="65"/>
      <c r="T28" s="65"/>
      <c r="U28" s="65"/>
      <c r="V28" s="65"/>
      <c r="W28" s="65"/>
    </row>
    <row r="29" customFormat="false" ht="15" hidden="false" customHeight="true" outlineLevel="0" collapsed="false">
      <c r="B29" s="60" t="str">
        <f aca="false">H21</f>
        <v>Ene.</v>
      </c>
      <c r="C29" s="61" t="n">
        <f aca="false">IF(H23=0," ",H22*100/H23)</f>
        <v>90.9090909090909</v>
      </c>
      <c r="D29" s="62" t="n">
        <f aca="false">IF(ISBLANK($V$13)," ",$V$13)</f>
        <v>96</v>
      </c>
      <c r="E29" s="62"/>
      <c r="F29" s="63"/>
      <c r="G29" s="64"/>
      <c r="H29" s="64"/>
      <c r="I29" s="64"/>
      <c r="J29" s="64"/>
      <c r="K29" s="64"/>
      <c r="L29" s="64"/>
      <c r="M29" s="64"/>
      <c r="N29" s="58"/>
      <c r="O29" s="58"/>
      <c r="P29" s="58"/>
      <c r="Q29" s="58"/>
      <c r="R29" s="58"/>
      <c r="S29" s="65"/>
      <c r="T29" s="65"/>
      <c r="U29" s="65"/>
      <c r="V29" s="65"/>
      <c r="W29" s="65"/>
      <c r="AB29" s="66"/>
      <c r="AC29" s="66"/>
      <c r="AD29" s="66"/>
    </row>
    <row r="30" customFormat="false" ht="15" hidden="false" customHeight="true" outlineLevel="0" collapsed="false">
      <c r="B30" s="60" t="str">
        <f aca="false">K21</f>
        <v>Feb.</v>
      </c>
      <c r="C30" s="61" t="n">
        <f aca="false">IF(K23=0," ",K22*100/K23)</f>
        <v>83.3333333333333</v>
      </c>
      <c r="D30" s="62" t="n">
        <f aca="false">IF(ISBLANK($V$13)," ",$V$13)</f>
        <v>96</v>
      </c>
      <c r="E30" s="62"/>
      <c r="F30" s="63"/>
      <c r="G30" s="64"/>
      <c r="H30" s="64"/>
      <c r="I30" s="64"/>
      <c r="J30" s="64"/>
      <c r="K30" s="64"/>
      <c r="L30" s="64"/>
      <c r="M30" s="64"/>
      <c r="N30" s="58"/>
      <c r="O30" s="58"/>
      <c r="P30" s="58"/>
      <c r="Q30" s="58"/>
      <c r="R30" s="58"/>
      <c r="S30" s="65"/>
      <c r="T30" s="65"/>
      <c r="U30" s="65"/>
      <c r="V30" s="65"/>
      <c r="W30" s="65"/>
      <c r="AB30" s="66"/>
      <c r="AC30" s="66"/>
      <c r="AD30" s="66"/>
    </row>
    <row r="31" customFormat="false" ht="15" hidden="false" customHeight="true" outlineLevel="0" collapsed="false">
      <c r="B31" s="60" t="str">
        <f aca="false">L21</f>
        <v>Mar.</v>
      </c>
      <c r="C31" s="61" t="n">
        <f aca="false">IF(L23=0," ",L22*100/L23)</f>
        <v>100</v>
      </c>
      <c r="D31" s="62" t="n">
        <f aca="false">IF(ISBLANK($V$13)," ",$V$13)</f>
        <v>96</v>
      </c>
      <c r="E31" s="62"/>
      <c r="F31" s="63"/>
      <c r="G31" s="64"/>
      <c r="H31" s="64"/>
      <c r="I31" s="64"/>
      <c r="J31" s="64"/>
      <c r="K31" s="64"/>
      <c r="L31" s="64"/>
      <c r="M31" s="64"/>
      <c r="N31" s="58"/>
      <c r="O31" s="58"/>
      <c r="P31" s="58"/>
      <c r="Q31" s="58"/>
      <c r="R31" s="58"/>
      <c r="S31" s="65"/>
      <c r="T31" s="65"/>
      <c r="U31" s="65"/>
      <c r="V31" s="65"/>
      <c r="W31" s="65"/>
      <c r="AB31" s="66"/>
      <c r="AC31" s="66"/>
      <c r="AD31" s="66"/>
    </row>
    <row r="32" customFormat="false" ht="15" hidden="false" customHeight="true" outlineLevel="0" collapsed="false">
      <c r="B32" s="60" t="str">
        <f aca="false">N21</f>
        <v>Abr.</v>
      </c>
      <c r="C32" s="61" t="n">
        <f aca="false">IF(N23=0," ",N22*100/N23)</f>
        <v>100</v>
      </c>
      <c r="D32" s="62" t="n">
        <f aca="false">IF(ISBLANK($V$13)," ",$V$13)</f>
        <v>96</v>
      </c>
      <c r="E32" s="62"/>
      <c r="F32" s="63"/>
      <c r="G32" s="64"/>
      <c r="H32" s="64"/>
      <c r="I32" s="64"/>
      <c r="J32" s="64"/>
      <c r="K32" s="64"/>
      <c r="L32" s="64"/>
      <c r="M32" s="64"/>
      <c r="N32" s="58"/>
      <c r="O32" s="58"/>
      <c r="P32" s="58"/>
      <c r="Q32" s="58"/>
      <c r="R32" s="58"/>
      <c r="S32" s="65"/>
      <c r="T32" s="65"/>
      <c r="U32" s="65"/>
      <c r="V32" s="65"/>
      <c r="W32" s="65"/>
      <c r="AB32" s="66"/>
      <c r="AC32" s="66"/>
      <c r="AD32" s="66"/>
    </row>
    <row r="33" customFormat="false" ht="15" hidden="false" customHeight="true" outlineLevel="0" collapsed="false">
      <c r="B33" s="60" t="str">
        <f aca="false">P21</f>
        <v>May.</v>
      </c>
      <c r="C33" s="61" t="n">
        <f aca="false">IF(P23=0," ",P22*100/P23)</f>
        <v>100</v>
      </c>
      <c r="D33" s="62" t="n">
        <f aca="false">IF(ISBLANK($V$13)," ",$V$13)</f>
        <v>96</v>
      </c>
      <c r="E33" s="62"/>
      <c r="F33" s="63"/>
      <c r="G33" s="64"/>
      <c r="H33" s="64"/>
      <c r="I33" s="64"/>
      <c r="J33" s="64"/>
      <c r="K33" s="64"/>
      <c r="L33" s="64"/>
      <c r="M33" s="64"/>
      <c r="N33" s="58"/>
      <c r="O33" s="58"/>
      <c r="P33" s="58"/>
      <c r="Q33" s="58"/>
      <c r="R33" s="58"/>
      <c r="S33" s="65"/>
      <c r="T33" s="65"/>
      <c r="U33" s="65"/>
      <c r="V33" s="65"/>
      <c r="W33" s="65"/>
      <c r="AB33" s="66"/>
      <c r="AC33" s="66"/>
      <c r="AD33" s="66"/>
    </row>
    <row r="34" customFormat="false" ht="15" hidden="false" customHeight="true" outlineLevel="0" collapsed="false">
      <c r="B34" s="60" t="str">
        <f aca="false">R21</f>
        <v>Jun.</v>
      </c>
      <c r="C34" s="61" t="str">
        <f aca="false">IF(R23=0, " ",R22*100/R23)</f>
        <v> </v>
      </c>
      <c r="D34" s="62" t="n">
        <f aca="false">IF(ISBLANK($V$13)," ",$V$13)</f>
        <v>96</v>
      </c>
      <c r="E34" s="62"/>
      <c r="F34" s="63"/>
      <c r="G34" s="64"/>
      <c r="H34" s="64"/>
      <c r="I34" s="64"/>
      <c r="J34" s="64"/>
      <c r="K34" s="64"/>
      <c r="L34" s="64"/>
      <c r="M34" s="64"/>
      <c r="N34" s="58"/>
      <c r="O34" s="58"/>
      <c r="P34" s="58"/>
      <c r="Q34" s="58"/>
      <c r="R34" s="58"/>
      <c r="S34" s="65"/>
      <c r="T34" s="65"/>
      <c r="U34" s="65"/>
      <c r="V34" s="65"/>
      <c r="W34" s="65"/>
      <c r="AB34" s="66"/>
      <c r="AC34" s="66"/>
      <c r="AD34" s="66"/>
    </row>
    <row r="35" customFormat="false" ht="15" hidden="false" customHeight="true" outlineLevel="0" collapsed="false">
      <c r="B35" s="60" t="str">
        <f aca="false">T21</f>
        <v>Jul.</v>
      </c>
      <c r="C35" s="61" t="str">
        <f aca="false">IF(T23=0," ",T22*100/T23)</f>
        <v> </v>
      </c>
      <c r="D35" s="62" t="n">
        <f aca="false">IF(ISBLANK($V$13)," ",$V$13)</f>
        <v>96</v>
      </c>
      <c r="E35" s="62"/>
      <c r="F35" s="63"/>
      <c r="G35" s="64"/>
      <c r="H35" s="64"/>
      <c r="I35" s="64"/>
      <c r="J35" s="64"/>
      <c r="K35" s="64"/>
      <c r="L35" s="64"/>
      <c r="M35" s="64"/>
      <c r="N35" s="58"/>
      <c r="O35" s="58"/>
      <c r="P35" s="58"/>
      <c r="Q35" s="58"/>
      <c r="R35" s="58"/>
      <c r="S35" s="65"/>
      <c r="T35" s="65"/>
      <c r="U35" s="65"/>
      <c r="V35" s="65"/>
      <c r="W35" s="65"/>
      <c r="AB35" s="66"/>
      <c r="AC35" s="66"/>
      <c r="AD35" s="66"/>
    </row>
    <row r="36" customFormat="false" ht="12.75" hidden="false" customHeight="false" outlineLevel="0" collapsed="false">
      <c r="B36" s="60" t="str">
        <f aca="false">V21</f>
        <v>Ago.</v>
      </c>
      <c r="C36" s="61" t="str">
        <f aca="false">IF(V23=0, " ",V22*100/V23)</f>
        <v> </v>
      </c>
      <c r="D36" s="62" t="n">
        <f aca="false">IF(ISBLANK($V$13)," ",$V$13)</f>
        <v>96</v>
      </c>
      <c r="E36" s="62"/>
      <c r="F36" s="63"/>
      <c r="G36" s="64"/>
      <c r="H36" s="64"/>
      <c r="I36" s="64"/>
      <c r="J36" s="64"/>
      <c r="K36" s="64"/>
      <c r="L36" s="64"/>
      <c r="M36" s="64"/>
      <c r="N36" s="58"/>
      <c r="O36" s="58"/>
      <c r="P36" s="58"/>
      <c r="Q36" s="58"/>
      <c r="R36" s="58"/>
      <c r="S36" s="65"/>
      <c r="T36" s="65"/>
      <c r="U36" s="65"/>
      <c r="V36" s="65"/>
      <c r="W36" s="65"/>
      <c r="AB36" s="66"/>
      <c r="AC36" s="66"/>
      <c r="AD36" s="66"/>
    </row>
    <row r="37" customFormat="false" ht="12.75" hidden="false" customHeight="false" outlineLevel="0" collapsed="false">
      <c r="B37" s="60" t="str">
        <f aca="false">W21</f>
        <v>Sep.</v>
      </c>
      <c r="C37" s="61" t="str">
        <f aca="false">IF(W23=0," ",W22*100/W23)</f>
        <v> </v>
      </c>
      <c r="D37" s="62" t="n">
        <f aca="false">IF(ISBLANK($V$13)," ",$V$13)</f>
        <v>96</v>
      </c>
      <c r="E37" s="62"/>
      <c r="F37" s="63"/>
      <c r="G37" s="64"/>
      <c r="H37" s="64"/>
      <c r="I37" s="64"/>
      <c r="J37" s="64"/>
      <c r="K37" s="64"/>
      <c r="L37" s="64"/>
      <c r="M37" s="64"/>
      <c r="N37" s="58"/>
      <c r="O37" s="58"/>
      <c r="P37" s="58"/>
      <c r="Q37" s="58"/>
      <c r="R37" s="58"/>
      <c r="S37" s="65"/>
      <c r="T37" s="65"/>
      <c r="U37" s="65"/>
      <c r="V37" s="65"/>
      <c r="W37" s="65"/>
      <c r="AB37" s="66"/>
      <c r="AC37" s="66"/>
      <c r="AD37" s="66"/>
    </row>
    <row r="38" customFormat="false" ht="12.75" hidden="false" customHeight="true" outlineLevel="0" collapsed="false">
      <c r="B38" s="67" t="s">
        <v>44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 customFormat="false" ht="19.5" hidden="false" customHeight="true" outlineLevel="0" collapsed="false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customFormat="false" ht="19.5" hidden="false" customHeight="true" outlineLevel="0" collapsed="false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customFormat="false" ht="37.5" hidden="false" customHeight="true" outlineLevel="0" collapsed="false">
      <c r="B41" s="69" t="s">
        <v>42</v>
      </c>
      <c r="C41" s="69"/>
      <c r="D41" s="70" t="s">
        <v>45</v>
      </c>
      <c r="E41" s="70"/>
      <c r="F41" s="70"/>
      <c r="G41" s="70"/>
      <c r="H41" s="70"/>
      <c r="I41" s="70"/>
      <c r="J41" s="70"/>
      <c r="K41" s="70"/>
      <c r="L41" s="70"/>
      <c r="M41" s="71" t="s">
        <v>46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 customFormat="false" ht="30" hidden="false" customHeight="true" outlineLevel="0" collapsed="false">
      <c r="B42" s="72" t="str">
        <f aca="false">D21</f>
        <v>Oct.</v>
      </c>
      <c r="C42" s="72"/>
      <c r="D42" s="73" t="s">
        <v>47</v>
      </c>
      <c r="E42" s="73"/>
      <c r="F42" s="73"/>
      <c r="G42" s="73"/>
      <c r="H42" s="73"/>
      <c r="I42" s="73"/>
      <c r="J42" s="73"/>
      <c r="K42" s="73"/>
      <c r="L42" s="73"/>
      <c r="M42" s="74" t="s">
        <v>48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 customFormat="false" ht="30" hidden="false" customHeight="true" outlineLevel="0" collapsed="false">
      <c r="B43" s="72" t="str">
        <f aca="false">E21</f>
        <v>Nov.</v>
      </c>
      <c r="C43" s="72"/>
      <c r="D43" s="73"/>
      <c r="E43" s="73"/>
      <c r="F43" s="73"/>
      <c r="G43" s="73"/>
      <c r="H43" s="73"/>
      <c r="I43" s="73"/>
      <c r="J43" s="73"/>
      <c r="K43" s="73"/>
      <c r="L43" s="73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 customFormat="false" ht="34.5" hidden="false" customHeight="true" outlineLevel="0" collapsed="false">
      <c r="B44" s="72" t="str">
        <f aca="false">F21</f>
        <v>Dic.</v>
      </c>
      <c r="C44" s="72"/>
      <c r="D44" s="73" t="s">
        <v>49</v>
      </c>
      <c r="E44" s="73"/>
      <c r="F44" s="73"/>
      <c r="G44" s="73"/>
      <c r="H44" s="73"/>
      <c r="I44" s="73"/>
      <c r="J44" s="73"/>
      <c r="K44" s="73"/>
      <c r="L44" s="73"/>
      <c r="M44" s="74" t="s">
        <v>50</v>
      </c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s="75" customFormat="true" ht="30" hidden="false" customHeight="true" outlineLevel="0" collapsed="false">
      <c r="B45" s="72" t="str">
        <f aca="false">H21</f>
        <v>Ene.</v>
      </c>
      <c r="C45" s="72"/>
      <c r="D45" s="73" t="s">
        <v>51</v>
      </c>
      <c r="E45" s="73"/>
      <c r="F45" s="73"/>
      <c r="G45" s="73"/>
      <c r="H45" s="73"/>
      <c r="I45" s="73"/>
      <c r="J45" s="73"/>
      <c r="K45" s="73"/>
      <c r="L45" s="73"/>
      <c r="M45" s="74" t="s">
        <v>52</v>
      </c>
      <c r="N45" s="74"/>
      <c r="O45" s="74"/>
      <c r="P45" s="74"/>
      <c r="Q45" s="74"/>
      <c r="R45" s="74"/>
      <c r="S45" s="74"/>
      <c r="T45" s="74"/>
      <c r="U45" s="74"/>
      <c r="V45" s="74"/>
      <c r="W45" s="74"/>
      <c r="AA45" s="76"/>
    </row>
    <row r="46" s="75" customFormat="true" ht="30" hidden="false" customHeight="true" outlineLevel="0" collapsed="false">
      <c r="B46" s="72" t="str">
        <f aca="false">K21</f>
        <v>Feb.</v>
      </c>
      <c r="C46" s="72"/>
      <c r="D46" s="73" t="s">
        <v>53</v>
      </c>
      <c r="E46" s="73"/>
      <c r="F46" s="73"/>
      <c r="G46" s="73"/>
      <c r="H46" s="73"/>
      <c r="I46" s="73"/>
      <c r="J46" s="73"/>
      <c r="K46" s="73"/>
      <c r="L46" s="73"/>
      <c r="M46" s="74" t="s">
        <v>54</v>
      </c>
      <c r="N46" s="74"/>
      <c r="O46" s="74"/>
      <c r="P46" s="74"/>
      <c r="Q46" s="74"/>
      <c r="R46" s="74"/>
      <c r="S46" s="74"/>
      <c r="T46" s="74"/>
      <c r="U46" s="74"/>
      <c r="V46" s="74"/>
      <c r="W46" s="74"/>
      <c r="AA46" s="76"/>
    </row>
    <row r="47" s="75" customFormat="true" ht="73.5" hidden="false" customHeight="true" outlineLevel="0" collapsed="false">
      <c r="B47" s="72" t="str">
        <f aca="false">L21</f>
        <v>Mar.</v>
      </c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AA47" s="76"/>
    </row>
    <row r="48" s="75" customFormat="true" ht="64.5" hidden="false" customHeight="true" outlineLevel="0" collapsed="false">
      <c r="B48" s="72" t="str">
        <f aca="false">N21</f>
        <v>Abr.</v>
      </c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AA48" s="76"/>
    </row>
    <row r="49" s="75" customFormat="true" ht="71.25" hidden="false" customHeight="true" outlineLevel="0" collapsed="false">
      <c r="B49" s="72" t="str">
        <f aca="false">P21</f>
        <v>May.</v>
      </c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AA49" s="76"/>
    </row>
    <row r="50" s="75" customFormat="true" ht="30" hidden="false" customHeight="true" outlineLevel="0" collapsed="false">
      <c r="B50" s="72" t="str">
        <f aca="false">R21</f>
        <v>Jun.</v>
      </c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AA50" s="76"/>
    </row>
    <row r="51" s="75" customFormat="true" ht="30" hidden="false" customHeight="true" outlineLevel="0" collapsed="false">
      <c r="B51" s="72" t="str">
        <f aca="false">T21</f>
        <v>Jul.</v>
      </c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AA51" s="76"/>
    </row>
    <row r="52" customFormat="false" ht="30" hidden="false" customHeight="true" outlineLevel="0" collapsed="false">
      <c r="B52" s="72" t="str">
        <f aca="false">V21</f>
        <v>Ago.</v>
      </c>
      <c r="C52" s="72"/>
      <c r="D52" s="73"/>
      <c r="E52" s="73"/>
      <c r="F52" s="73"/>
      <c r="G52" s="73"/>
      <c r="H52" s="73"/>
      <c r="I52" s="73"/>
      <c r="J52" s="73"/>
      <c r="K52" s="73"/>
      <c r="L52" s="73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</row>
    <row r="53" customFormat="false" ht="30" hidden="false" customHeight="true" outlineLevel="0" collapsed="false">
      <c r="B53" s="77" t="str">
        <f aca="false">W21</f>
        <v>Sep.</v>
      </c>
      <c r="C53" s="77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</row>
    <row r="54" customFormat="false" ht="12.75" hidden="false" customHeight="true" outlineLevel="0" collapsed="false">
      <c r="B54" s="78" t="s">
        <v>55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customFormat="false" ht="12.75" hidden="false" customHeight="false" outlineLevel="0" collapsed="false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</row>
    <row r="56" customFormat="false" ht="12.75" hidden="false" customHeight="false" outlineLevel="0" collapsed="false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customFormat="false" ht="12.75" hidden="false" customHeight="false" outlineLevel="0" collapsed="false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customFormat="false" ht="12.75" hidden="false" customHeight="false" outlineLevel="0" collapsed="false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customFormat="false" ht="13.5" hidden="false" customHeight="true" outlineLevel="0" collapsed="false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</row>
    <row r="60" customFormat="false" ht="15" hidden="false" customHeight="true" outlineLevel="0" collapsed="false">
      <c r="B60" s="80"/>
      <c r="C60" s="81"/>
      <c r="D60" s="81"/>
      <c r="E60" s="81"/>
      <c r="F60" s="81"/>
      <c r="G60" s="82"/>
      <c r="H60" s="81"/>
      <c r="I60" s="83"/>
      <c r="J60" s="84"/>
      <c r="K60" s="8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6" t="s">
        <v>56</v>
      </c>
    </row>
    <row r="61" customFormat="false" ht="12.75" hidden="false" customHeight="false" outlineLevel="0" collapsed="false">
      <c r="B61" s="87"/>
    </row>
    <row r="68" customFormat="false" ht="3" hidden="false" customHeight="true" outlineLevel="0" collapsed="false"/>
    <row r="70" customFormat="false" ht="20.25" hidden="false" customHeight="true" outlineLevel="0" collapsed="false"/>
    <row r="71" customFormat="false" ht="15" hidden="true" customHeight="true" outlineLevel="0" collapsed="false"/>
    <row r="72" s="1" customFormat="true" ht="20.25" hidden="true" customHeight="true" outlineLevel="0" collapsed="false"/>
    <row r="73" customFormat="false" ht="12.75" hidden="true" customHeight="false" outlineLevel="0" collapsed="false"/>
    <row r="74" customFormat="false" ht="12.75" hidden="true" customHeight="false" outlineLevel="0" collapsed="false"/>
    <row r="75" customFormat="false" ht="13.5" hidden="true" customHeight="true" outlineLevel="0" collapsed="false"/>
    <row r="76" customFormat="false" ht="12.75" hidden="true" customHeight="false" outlineLevel="0" collapsed="false"/>
    <row r="77" customFormat="false" ht="12.75" hidden="true" customHeight="false" outlineLevel="0" collapsed="false"/>
    <row r="78" customFormat="false" ht="21" hidden="true" customHeight="true" outlineLevel="0" collapsed="false">
      <c r="B78" s="88"/>
      <c r="C78" s="89"/>
      <c r="D78" s="90" t="s">
        <v>57</v>
      </c>
      <c r="E78" s="90"/>
      <c r="M78" s="89" t="s">
        <v>58</v>
      </c>
      <c r="T78" s="89" t="s">
        <v>59</v>
      </c>
      <c r="Y78" s="89" t="s">
        <v>60</v>
      </c>
      <c r="AC78" s="89" t="s">
        <v>61</v>
      </c>
      <c r="AE78" s="91"/>
      <c r="AF78" s="91"/>
      <c r="AG78" s="92" t="s">
        <v>62</v>
      </c>
      <c r="AH78" s="92"/>
    </row>
    <row r="79" customFormat="false" ht="20.25" hidden="true" customHeight="true" outlineLevel="0" collapsed="false">
      <c r="B79" s="91"/>
      <c r="C79" s="91"/>
      <c r="D79" s="93" t="s">
        <v>63</v>
      </c>
      <c r="E79" s="93" t="s">
        <v>64</v>
      </c>
      <c r="M79" s="1" t="s">
        <v>65</v>
      </c>
      <c r="T79" s="1" t="s">
        <v>66</v>
      </c>
      <c r="Y79" s="1" t="s">
        <v>67</v>
      </c>
      <c r="AC79" s="94" t="s">
        <v>68</v>
      </c>
      <c r="AE79" s="95" t="s">
        <v>69</v>
      </c>
      <c r="AF79" s="96" t="s">
        <v>17</v>
      </c>
      <c r="AG79" s="97" t="s">
        <v>70</v>
      </c>
      <c r="AH79" s="97" t="s">
        <v>71</v>
      </c>
      <c r="AI79" s="98" t="s">
        <v>72</v>
      </c>
      <c r="AJ79" s="98" t="s">
        <v>73</v>
      </c>
      <c r="AK79" s="98" t="s">
        <v>74</v>
      </c>
      <c r="AL79" s="98" t="s">
        <v>75</v>
      </c>
      <c r="AM79" s="97" t="s">
        <v>76</v>
      </c>
      <c r="AN79" s="97" t="s">
        <v>77</v>
      </c>
      <c r="AO79" s="98" t="s">
        <v>78</v>
      </c>
      <c r="AP79" s="98" t="s">
        <v>79</v>
      </c>
      <c r="AQ79" s="98" t="s">
        <v>80</v>
      </c>
      <c r="AR79" s="98" t="s">
        <v>81</v>
      </c>
    </row>
    <row r="80" customFormat="false" ht="31.5" hidden="true" customHeight="true" outlineLevel="0" collapsed="false">
      <c r="B80" s="99" t="s">
        <v>3</v>
      </c>
      <c r="C80" s="100" t="s">
        <v>82</v>
      </c>
      <c r="D80" s="100" t="s">
        <v>83</v>
      </c>
      <c r="E80" s="100" t="s">
        <v>84</v>
      </c>
      <c r="M80" s="1" t="s">
        <v>85</v>
      </c>
      <c r="T80" s="1" t="s">
        <v>86</v>
      </c>
      <c r="Y80" s="1" t="s">
        <v>87</v>
      </c>
      <c r="AC80" s="94" t="s">
        <v>88</v>
      </c>
      <c r="AE80" s="95"/>
      <c r="AF80" s="96" t="s">
        <v>89</v>
      </c>
      <c r="AG80" s="97" t="s">
        <v>71</v>
      </c>
      <c r="AH80" s="97" t="s">
        <v>73</v>
      </c>
      <c r="AI80" s="98" t="s">
        <v>75</v>
      </c>
      <c r="AJ80" s="98" t="s">
        <v>77</v>
      </c>
      <c r="AK80" s="98" t="s">
        <v>79</v>
      </c>
      <c r="AL80" s="98" t="s">
        <v>81</v>
      </c>
      <c r="AM80" s="98" t="s">
        <v>90</v>
      </c>
      <c r="AN80" s="98" t="s">
        <v>90</v>
      </c>
      <c r="AO80" s="98" t="s">
        <v>90</v>
      </c>
      <c r="AP80" s="98" t="s">
        <v>90</v>
      </c>
      <c r="AQ80" s="98" t="s">
        <v>90</v>
      </c>
      <c r="AR80" s="98" t="s">
        <v>90</v>
      </c>
    </row>
    <row r="81" customFormat="false" ht="21.75" hidden="true" customHeight="true" outlineLevel="0" collapsed="false">
      <c r="B81" s="99"/>
      <c r="C81" s="100" t="s">
        <v>5</v>
      </c>
      <c r="D81" s="100" t="s">
        <v>91</v>
      </c>
      <c r="E81" s="100" t="s">
        <v>92</v>
      </c>
      <c r="M81" s="1" t="s">
        <v>93</v>
      </c>
      <c r="T81" s="1" t="s">
        <v>94</v>
      </c>
      <c r="Y81" s="1" t="s">
        <v>95</v>
      </c>
      <c r="AC81" s="94" t="s">
        <v>96</v>
      </c>
      <c r="AE81" s="95"/>
      <c r="AF81" s="96" t="s">
        <v>97</v>
      </c>
      <c r="AG81" s="97" t="s">
        <v>72</v>
      </c>
      <c r="AH81" s="97" t="s">
        <v>75</v>
      </c>
      <c r="AI81" s="98" t="s">
        <v>78</v>
      </c>
      <c r="AJ81" s="98" t="s">
        <v>81</v>
      </c>
      <c r="AK81" s="98" t="s">
        <v>90</v>
      </c>
      <c r="AL81" s="98" t="s">
        <v>90</v>
      </c>
      <c r="AM81" s="98" t="s">
        <v>90</v>
      </c>
      <c r="AN81" s="98" t="s">
        <v>90</v>
      </c>
      <c r="AO81" s="98" t="s">
        <v>90</v>
      </c>
      <c r="AP81" s="98" t="s">
        <v>90</v>
      </c>
      <c r="AQ81" s="98" t="s">
        <v>90</v>
      </c>
      <c r="AR81" s="98" t="s">
        <v>90</v>
      </c>
    </row>
    <row r="82" customFormat="false" ht="22.5" hidden="true" customHeight="true" outlineLevel="0" collapsed="false">
      <c r="B82" s="99"/>
      <c r="C82" s="100" t="s">
        <v>98</v>
      </c>
      <c r="D82" s="100" t="s">
        <v>91</v>
      </c>
      <c r="E82" s="100" t="s">
        <v>99</v>
      </c>
      <c r="M82" s="1" t="s">
        <v>28</v>
      </c>
      <c r="T82" s="1" t="s">
        <v>100</v>
      </c>
      <c r="Y82" s="1" t="s">
        <v>101</v>
      </c>
      <c r="AC82" s="94" t="s">
        <v>102</v>
      </c>
      <c r="AE82" s="95"/>
      <c r="AF82" s="96" t="s">
        <v>103</v>
      </c>
      <c r="AG82" s="98" t="s">
        <v>73</v>
      </c>
      <c r="AH82" s="98" t="s">
        <v>77</v>
      </c>
      <c r="AI82" s="98" t="s">
        <v>81</v>
      </c>
      <c r="AJ82" s="98" t="s">
        <v>90</v>
      </c>
      <c r="AK82" s="98" t="s">
        <v>90</v>
      </c>
      <c r="AL82" s="98" t="s">
        <v>90</v>
      </c>
      <c r="AM82" s="98" t="s">
        <v>90</v>
      </c>
      <c r="AN82" s="98" t="s">
        <v>90</v>
      </c>
      <c r="AO82" s="98" t="s">
        <v>90</v>
      </c>
      <c r="AP82" s="98" t="s">
        <v>90</v>
      </c>
      <c r="AQ82" s="98" t="s">
        <v>90</v>
      </c>
      <c r="AR82" s="98" t="s">
        <v>90</v>
      </c>
    </row>
    <row r="83" customFormat="false" ht="15" hidden="true" customHeight="true" outlineLevel="0" collapsed="false">
      <c r="B83" s="101"/>
      <c r="T83" s="1" t="s">
        <v>104</v>
      </c>
      <c r="Y83" s="1" t="s">
        <v>105</v>
      </c>
      <c r="AC83" s="94" t="s">
        <v>106</v>
      </c>
      <c r="AE83" s="95"/>
      <c r="AF83" s="96" t="s">
        <v>107</v>
      </c>
      <c r="AG83" s="98" t="s">
        <v>75</v>
      </c>
      <c r="AH83" s="98" t="s">
        <v>81</v>
      </c>
      <c r="AI83" s="98" t="s">
        <v>90</v>
      </c>
      <c r="AJ83" s="98" t="s">
        <v>90</v>
      </c>
      <c r="AK83" s="98" t="s">
        <v>90</v>
      </c>
      <c r="AL83" s="98" t="s">
        <v>90</v>
      </c>
      <c r="AM83" s="98" t="s">
        <v>90</v>
      </c>
      <c r="AN83" s="98" t="s">
        <v>90</v>
      </c>
      <c r="AO83" s="98" t="s">
        <v>90</v>
      </c>
      <c r="AP83" s="98" t="s">
        <v>90</v>
      </c>
      <c r="AQ83" s="98" t="s">
        <v>90</v>
      </c>
      <c r="AR83" s="98" t="s">
        <v>90</v>
      </c>
    </row>
    <row r="84" customFormat="false" ht="15" hidden="true" customHeight="true" outlineLevel="0" collapsed="false">
      <c r="B84" s="102" t="s">
        <v>108</v>
      </c>
      <c r="C84" s="103" t="s">
        <v>109</v>
      </c>
      <c r="D84" s="104"/>
      <c r="E84" s="104"/>
      <c r="F84" s="104"/>
      <c r="G84" s="104"/>
      <c r="H84" s="104"/>
      <c r="I84" s="104"/>
      <c r="J84" s="104"/>
      <c r="K84" s="104"/>
      <c r="L84" s="104"/>
      <c r="M84" s="105"/>
      <c r="N84" s="104"/>
      <c r="O84" s="104"/>
      <c r="P84" s="104"/>
      <c r="T84" s="1" t="s">
        <v>110</v>
      </c>
      <c r="Y84" s="1" t="s">
        <v>111</v>
      </c>
      <c r="AC84" s="94" t="s">
        <v>112</v>
      </c>
      <c r="AF84" s="96" t="s">
        <v>113</v>
      </c>
      <c r="AG84" s="97" t="s">
        <v>70</v>
      </c>
      <c r="AH84" s="97" t="s">
        <v>71</v>
      </c>
      <c r="AI84" s="98" t="s">
        <v>72</v>
      </c>
      <c r="AJ84" s="98" t="s">
        <v>73</v>
      </c>
      <c r="AK84" s="98" t="s">
        <v>74</v>
      </c>
      <c r="AL84" s="98" t="s">
        <v>75</v>
      </c>
      <c r="AM84" s="97" t="s">
        <v>76</v>
      </c>
      <c r="AN84" s="97" t="s">
        <v>77</v>
      </c>
      <c r="AO84" s="98" t="s">
        <v>78</v>
      </c>
      <c r="AP84" s="98" t="s">
        <v>79</v>
      </c>
      <c r="AQ84" s="98" t="s">
        <v>80</v>
      </c>
      <c r="AR84" s="98" t="s">
        <v>81</v>
      </c>
    </row>
    <row r="85" customFormat="false" ht="12.75" hidden="true" customHeight="false" outlineLevel="0" collapsed="false">
      <c r="B85" s="106" t="n">
        <v>1</v>
      </c>
      <c r="C85" s="1" t="s">
        <v>114</v>
      </c>
      <c r="T85" s="1" t="s">
        <v>115</v>
      </c>
      <c r="Y85" s="1" t="s">
        <v>116</v>
      </c>
      <c r="AC85" s="94" t="s">
        <v>117</v>
      </c>
    </row>
    <row r="86" customFormat="false" ht="12.75" hidden="true" customHeight="false" outlineLevel="0" collapsed="false">
      <c r="B86" s="106" t="n">
        <v>2</v>
      </c>
      <c r="C86" s="1" t="s">
        <v>118</v>
      </c>
      <c r="T86" s="1" t="s">
        <v>119</v>
      </c>
      <c r="Y86" s="1" t="s">
        <v>120</v>
      </c>
      <c r="AC86" s="94" t="s">
        <v>121</v>
      </c>
    </row>
    <row r="87" customFormat="false" ht="12.75" hidden="true" customHeight="false" outlineLevel="0" collapsed="false">
      <c r="B87" s="106" t="n">
        <v>3</v>
      </c>
      <c r="C87" s="1" t="s">
        <v>122</v>
      </c>
      <c r="T87" s="1" t="s">
        <v>123</v>
      </c>
      <c r="Y87" s="1" t="s">
        <v>124</v>
      </c>
      <c r="AC87" s="94" t="s">
        <v>125</v>
      </c>
    </row>
    <row r="88" customFormat="false" ht="12.75" hidden="true" customHeight="false" outlineLevel="0" collapsed="false">
      <c r="B88" s="106" t="n">
        <v>4</v>
      </c>
      <c r="C88" s="1" t="s">
        <v>126</v>
      </c>
      <c r="T88" s="1" t="s">
        <v>127</v>
      </c>
      <c r="Y88" s="1" t="s">
        <v>128</v>
      </c>
      <c r="AC88" s="94" t="s">
        <v>129</v>
      </c>
    </row>
    <row r="89" customFormat="false" ht="12.75" hidden="true" customHeight="false" outlineLevel="0" collapsed="false">
      <c r="B89" s="106" t="n">
        <v>5</v>
      </c>
      <c r="C89" s="1" t="s">
        <v>130</v>
      </c>
      <c r="T89" s="1" t="s">
        <v>131</v>
      </c>
      <c r="Y89" s="1" t="s">
        <v>132</v>
      </c>
      <c r="AC89" s="94" t="s">
        <v>133</v>
      </c>
    </row>
    <row r="90" customFormat="false" ht="12.75" hidden="true" customHeight="false" outlineLevel="0" collapsed="false">
      <c r="B90" s="106" t="n">
        <v>6</v>
      </c>
      <c r="C90" s="1" t="s">
        <v>134</v>
      </c>
      <c r="T90" s="1" t="s">
        <v>135</v>
      </c>
      <c r="Y90" s="1" t="s">
        <v>136</v>
      </c>
      <c r="AC90" s="94" t="s">
        <v>137</v>
      </c>
    </row>
    <row r="91" customFormat="false" ht="12.75" hidden="true" customHeight="false" outlineLevel="0" collapsed="false">
      <c r="B91" s="106" t="n">
        <v>7</v>
      </c>
      <c r="C91" s="1" t="s">
        <v>138</v>
      </c>
      <c r="F91" s="107"/>
      <c r="T91" s="1" t="s">
        <v>30</v>
      </c>
      <c r="Y91" s="1" t="s">
        <v>139</v>
      </c>
      <c r="AC91" s="94" t="s">
        <v>140</v>
      </c>
    </row>
    <row r="92" customFormat="false" ht="12.75" hidden="true" customHeight="false" outlineLevel="0" collapsed="false">
      <c r="B92" s="108" t="n">
        <v>8</v>
      </c>
      <c r="C92" s="109" t="s">
        <v>141</v>
      </c>
      <c r="D92" s="109"/>
      <c r="E92" s="109"/>
      <c r="F92" s="110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Y92" s="1" t="s">
        <v>142</v>
      </c>
      <c r="AC92" s="94" t="s">
        <v>143</v>
      </c>
    </row>
    <row r="93" customFormat="false" ht="12.75" hidden="true" customHeight="false" outlineLevel="0" collapsed="false">
      <c r="G93" s="107"/>
      <c r="Y93" s="1" t="s">
        <v>144</v>
      </c>
      <c r="AC93" s="94" t="s">
        <v>34</v>
      </c>
    </row>
    <row r="94" customFormat="false" ht="12.75" hidden="true" customHeight="false" outlineLevel="0" collapsed="false">
      <c r="G94" s="107"/>
      <c r="Y94" s="1" t="s">
        <v>145</v>
      </c>
      <c r="AC94" s="94" t="s">
        <v>146</v>
      </c>
    </row>
    <row r="95" customFormat="false" ht="12.75" hidden="true" customHeight="false" outlineLevel="0" collapsed="false">
      <c r="G95" s="107"/>
      <c r="Y95" s="1" t="s">
        <v>147</v>
      </c>
      <c r="AC95" s="94" t="s">
        <v>148</v>
      </c>
    </row>
    <row r="96" customFormat="false" ht="12.75" hidden="true" customHeight="false" outlineLevel="0" collapsed="false">
      <c r="G96" s="107"/>
      <c r="Y96" s="1" t="s">
        <v>149</v>
      </c>
      <c r="AC96" s="94" t="s">
        <v>150</v>
      </c>
    </row>
    <row r="97" customFormat="false" ht="12.75" hidden="true" customHeight="false" outlineLevel="0" collapsed="false">
      <c r="G97" s="107"/>
      <c r="Y97" s="1" t="s">
        <v>32</v>
      </c>
      <c r="AC97" s="94" t="s">
        <v>151</v>
      </c>
    </row>
    <row r="98" customFormat="false" ht="12.75" hidden="true" customHeight="false" outlineLevel="0" collapsed="false">
      <c r="G98" s="107"/>
      <c r="AC98" s="94" t="s">
        <v>152</v>
      </c>
    </row>
    <row r="99" customFormat="false" ht="12.75" hidden="true" customHeight="false" outlineLevel="0" collapsed="false">
      <c r="G99" s="2"/>
      <c r="AC99" s="94" t="s">
        <v>153</v>
      </c>
    </row>
    <row r="100" customFormat="false" ht="12.75" hidden="true" customHeight="false" outlineLevel="0" collapsed="false">
      <c r="G100" s="2"/>
      <c r="AC100" s="94" t="s">
        <v>154</v>
      </c>
    </row>
    <row r="101" customFormat="false" ht="12.75" hidden="true" customHeight="false" outlineLevel="0" collapsed="false">
      <c r="G101" s="2"/>
      <c r="AC101" s="94" t="s">
        <v>155</v>
      </c>
    </row>
    <row r="102" customFormat="false" ht="12.75" hidden="true" customHeight="false" outlineLevel="0" collapsed="false">
      <c r="G102" s="2"/>
      <c r="AC102" s="94" t="s">
        <v>156</v>
      </c>
    </row>
    <row r="103" customFormat="false" ht="12.75" hidden="true" customHeight="false" outlineLevel="0" collapsed="false">
      <c r="G103" s="2"/>
      <c r="AC103" s="94" t="s">
        <v>157</v>
      </c>
    </row>
    <row r="104" customFormat="false" ht="12.75" hidden="true" customHeight="false" outlineLevel="0" collapsed="false">
      <c r="G104" s="2"/>
      <c r="AC104" s="94"/>
    </row>
    <row r="105" customFormat="false" ht="12.75" hidden="true" customHeight="false" outlineLevel="0" collapsed="false"/>
    <row r="106" customFormat="false" ht="12.75" hidden="true" customHeight="false" outlineLevel="0" collapsed="false"/>
    <row r="107" customFormat="false" ht="12.75" hidden="true" customHeight="false" outlineLevel="0" collapsed="false"/>
    <row r="108" customFormat="false" ht="12.75" hidden="true" customHeight="false" outlineLevel="0" collapsed="false"/>
    <row r="109" customFormat="false" ht="12.75" hidden="true" customHeight="false" outlineLevel="0" collapsed="false"/>
    <row r="110" customFormat="false" ht="12.75" hidden="true" customHeight="false" outlineLevel="0" collapsed="false"/>
    <row r="111" customFormat="false" ht="12.75" hidden="true" customHeight="false" outlineLevel="0" collapsed="false"/>
    <row r="112" customFormat="false" ht="12.75" hidden="true" customHeight="false" outlineLevel="0" collapsed="false"/>
    <row r="113" customFormat="false" ht="12.75" hidden="true" customHeight="false" outlineLevel="0" collapsed="false"/>
    <row r="114" customFormat="false" ht="12.75" hidden="true" customHeight="false" outlineLevel="0" collapsed="false"/>
    <row r="115" customFormat="false" ht="12.75" hidden="true" customHeight="false" outlineLevel="0" collapsed="false"/>
    <row r="116" customFormat="false" ht="12.75" hidden="true" customHeight="false" outlineLevel="0" collapsed="false"/>
    <row r="117" customFormat="false" ht="12.75" hidden="true" customHeight="false" outlineLevel="0" collapsed="false"/>
    <row r="118" customFormat="false" ht="12.75" hidden="true" customHeight="false" outlineLevel="0" collapsed="false"/>
    <row r="119" customFormat="false" ht="12.75" hidden="true" customHeight="false" outlineLevel="0" collapsed="false"/>
    <row r="120" customFormat="false" ht="12.75" hidden="true" customHeight="false" outlineLevel="0" collapsed="false"/>
    <row r="251" customFormat="false" ht="12.75" hidden="false" customHeight="false" outlineLevel="0" collapsed="false">
      <c r="A251" s="106" t="s">
        <v>158</v>
      </c>
    </row>
    <row r="253" customFormat="false" ht="12.75" hidden="false" customHeight="false" outlineLevel="0" collapsed="false">
      <c r="F253" s="2" t="s">
        <v>159</v>
      </c>
      <c r="P253" s="33" t="s">
        <v>160</v>
      </c>
      <c r="Q253" s="33" t="s">
        <v>161</v>
      </c>
    </row>
    <row r="254" customFormat="false" ht="15.75" hidden="false" customHeight="true" outlineLevel="0" collapsed="false">
      <c r="F254" s="2" t="s">
        <v>162</v>
      </c>
      <c r="O254" s="111"/>
      <c r="P254" s="33"/>
      <c r="Q254" s="33" t="n">
        <v>5</v>
      </c>
    </row>
    <row r="255" customFormat="false" ht="15.75" hidden="false" customHeight="true" outlineLevel="0" collapsed="false">
      <c r="F255" s="2" t="s">
        <v>163</v>
      </c>
      <c r="O255" s="112"/>
      <c r="P255" s="33" t="n">
        <v>5</v>
      </c>
      <c r="Q255" s="33" t="n">
        <v>10</v>
      </c>
    </row>
    <row r="256" customFormat="false" ht="15.75" hidden="false" customHeight="true" outlineLevel="0" collapsed="false">
      <c r="F256" s="2" t="s">
        <v>164</v>
      </c>
      <c r="O256" s="113"/>
      <c r="P256" s="33" t="n">
        <v>10</v>
      </c>
      <c r="Q256" s="33" t="n">
        <v>40</v>
      </c>
    </row>
    <row r="257" customFormat="false" ht="15.75" hidden="false" customHeight="true" outlineLevel="0" collapsed="false">
      <c r="F257" s="2" t="s">
        <v>165</v>
      </c>
      <c r="O257" s="112"/>
      <c r="P257" s="33" t="n">
        <v>40</v>
      </c>
      <c r="Q257" s="33" t="n">
        <v>50</v>
      </c>
    </row>
    <row r="258" customFormat="false" ht="15.75" hidden="false" customHeight="true" outlineLevel="0" collapsed="false">
      <c r="F258" s="2" t="s">
        <v>166</v>
      </c>
      <c r="O258" s="111"/>
      <c r="P258" s="33" t="n">
        <v>50</v>
      </c>
      <c r="Q258" s="33"/>
    </row>
    <row r="259" customFormat="false" ht="12.75" hidden="false" customHeight="false" outlineLevel="0" collapsed="false">
      <c r="F259" s="2" t="s">
        <v>167</v>
      </c>
    </row>
    <row r="260" customFormat="false" ht="12.75" hidden="false" customHeight="false" outlineLevel="0" collapsed="false">
      <c r="F260" s="2" t="s">
        <v>168</v>
      </c>
    </row>
    <row r="261" customFormat="false" ht="12.75" hidden="false" customHeight="false" outlineLevel="0" collapsed="false">
      <c r="F261" s="2" t="s">
        <v>169</v>
      </c>
    </row>
    <row r="262" customFormat="false" ht="12.75" hidden="false" customHeight="false" outlineLevel="0" collapsed="false">
      <c r="F262" s="2" t="s">
        <v>170</v>
      </c>
    </row>
    <row r="263" customFormat="false" ht="12.75" hidden="false" customHeight="false" outlineLevel="0" collapsed="false">
      <c r="F263" s="2" t="s">
        <v>171</v>
      </c>
    </row>
    <row r="264" customFormat="false" ht="12.75" hidden="false" customHeight="false" outlineLevel="0" collapsed="false">
      <c r="F264" s="2" t="s">
        <v>172</v>
      </c>
    </row>
    <row r="265" customFormat="false" ht="12.75" hidden="false" customHeight="false" outlineLevel="0" collapsed="false">
      <c r="F265" s="2" t="s">
        <v>173</v>
      </c>
    </row>
    <row r="266" customFormat="false" ht="12.75" hidden="false" customHeight="false" outlineLevel="0" collapsed="false">
      <c r="F266" s="2" t="s">
        <v>174</v>
      </c>
    </row>
    <row r="267" customFormat="false" ht="12.75" hidden="false" customHeight="false" outlineLevel="0" collapsed="false">
      <c r="F267" s="2" t="s">
        <v>175</v>
      </c>
    </row>
    <row r="268" customFormat="false" ht="12.75" hidden="false" customHeight="false" outlineLevel="0" collapsed="false">
      <c r="F268" s="2" t="s">
        <v>176</v>
      </c>
    </row>
    <row r="269" customFormat="false" ht="12.75" hidden="false" customHeight="false" outlineLevel="0" collapsed="false">
      <c r="F269" s="2" t="s">
        <v>177</v>
      </c>
    </row>
    <row r="270" customFormat="false" ht="12.75" hidden="false" customHeight="false" outlineLevel="0" collapsed="false">
      <c r="F270" s="2" t="s">
        <v>178</v>
      </c>
    </row>
    <row r="271" customFormat="false" ht="12.75" hidden="false" customHeight="false" outlineLevel="0" collapsed="false">
      <c r="F271" s="2" t="s">
        <v>179</v>
      </c>
    </row>
    <row r="272" customFormat="false" ht="12.75" hidden="false" customHeight="false" outlineLevel="0" collapsed="false">
      <c r="F272" s="2" t="s">
        <v>180</v>
      </c>
    </row>
    <row r="273" customFormat="false" ht="12.75" hidden="false" customHeight="false" outlineLevel="0" collapsed="false">
      <c r="F273" s="2" t="s">
        <v>127</v>
      </c>
    </row>
    <row r="274" customFormat="false" ht="12.75" hidden="false" customHeight="false" outlineLevel="0" collapsed="false">
      <c r="F274" s="2" t="s">
        <v>181</v>
      </c>
    </row>
    <row r="275" customFormat="false" ht="12.75" hidden="false" customHeight="false" outlineLevel="0" collapsed="false">
      <c r="F275" s="2" t="s">
        <v>182</v>
      </c>
    </row>
    <row r="276" customFormat="false" ht="12.75" hidden="false" customHeight="false" outlineLevel="0" collapsed="false">
      <c r="F276" s="2" t="s">
        <v>183</v>
      </c>
    </row>
    <row r="277" customFormat="false" ht="12.75" hidden="false" customHeight="false" outlineLevel="0" collapsed="false">
      <c r="F277" s="2" t="s">
        <v>184</v>
      </c>
    </row>
    <row r="278" customFormat="false" ht="12.75" hidden="false" customHeight="false" outlineLevel="0" collapsed="false">
      <c r="F278" s="2" t="s">
        <v>185</v>
      </c>
    </row>
    <row r="279" customFormat="false" ht="12.75" hidden="false" customHeight="false" outlineLevel="0" collapsed="false">
      <c r="F279" s="2" t="s">
        <v>186</v>
      </c>
    </row>
    <row r="280" customFormat="false" ht="12.75" hidden="false" customHeight="false" outlineLevel="0" collapsed="false">
      <c r="F280" s="2" t="s">
        <v>6</v>
      </c>
    </row>
    <row r="281" customFormat="false" ht="12.75" hidden="false" customHeight="false" outlineLevel="0" collapsed="false">
      <c r="F281" s="2" t="s">
        <v>187</v>
      </c>
    </row>
    <row r="282" customFormat="false" ht="12.75" hidden="false" customHeight="false" outlineLevel="0" collapsed="false">
      <c r="F282" s="1" t="s">
        <v>188</v>
      </c>
    </row>
  </sheetData>
  <sheetProtection sheet="true" password="c43f" objects="true" scenarios="true" formatRows="false" autoFilter="false"/>
  <mergeCells count="154">
    <mergeCell ref="T2:W2"/>
    <mergeCell ref="B3:B5"/>
    <mergeCell ref="C3:E3"/>
    <mergeCell ref="F3:Q5"/>
    <mergeCell ref="R3:W3"/>
    <mergeCell ref="C4:E5"/>
    <mergeCell ref="R4:W5"/>
    <mergeCell ref="B6:W6"/>
    <mergeCell ref="B7:W7"/>
    <mergeCell ref="B8:W8"/>
    <mergeCell ref="B9:W9"/>
    <mergeCell ref="B10:W10"/>
    <mergeCell ref="B11:C11"/>
    <mergeCell ref="D11:R11"/>
    <mergeCell ref="S11:W11"/>
    <mergeCell ref="B12:C12"/>
    <mergeCell ref="D12:F12"/>
    <mergeCell ref="G12:J12"/>
    <mergeCell ref="K12:M12"/>
    <mergeCell ref="N12:O12"/>
    <mergeCell ref="P12:R12"/>
    <mergeCell ref="S12:U12"/>
    <mergeCell ref="B13:C15"/>
    <mergeCell ref="D13:R15"/>
    <mergeCell ref="S13:U13"/>
    <mergeCell ref="B16:C16"/>
    <mergeCell ref="D16:R16"/>
    <mergeCell ref="S16:U16"/>
    <mergeCell ref="V16:W16"/>
    <mergeCell ref="B17:W17"/>
    <mergeCell ref="B18:C18"/>
    <mergeCell ref="D18:H18"/>
    <mergeCell ref="I18:L18"/>
    <mergeCell ref="M18:P18"/>
    <mergeCell ref="Q18:S18"/>
    <mergeCell ref="T18:W18"/>
    <mergeCell ref="B19:C19"/>
    <mergeCell ref="D19:H19"/>
    <mergeCell ref="I19:L19"/>
    <mergeCell ref="M19:P19"/>
    <mergeCell ref="Q19:S19"/>
    <mergeCell ref="T19:W19"/>
    <mergeCell ref="B20:W20"/>
    <mergeCell ref="B21:C21"/>
    <mergeCell ref="F21:G21"/>
    <mergeCell ref="H21:J21"/>
    <mergeCell ref="L21:M21"/>
    <mergeCell ref="N21:O21"/>
    <mergeCell ref="P21:Q21"/>
    <mergeCell ref="R21:S21"/>
    <mergeCell ref="T21:U21"/>
    <mergeCell ref="B22:C22"/>
    <mergeCell ref="F22:G22"/>
    <mergeCell ref="H22:J22"/>
    <mergeCell ref="L22:M22"/>
    <mergeCell ref="N22:O22"/>
    <mergeCell ref="P22:Q22"/>
    <mergeCell ref="R22:S22"/>
    <mergeCell ref="T22:U22"/>
    <mergeCell ref="B23:C23"/>
    <mergeCell ref="F23:G23"/>
    <mergeCell ref="H23:J23"/>
    <mergeCell ref="L23:M23"/>
    <mergeCell ref="N23:O23"/>
    <mergeCell ref="P23:Q23"/>
    <mergeCell ref="R23:S23"/>
    <mergeCell ref="T23:U23"/>
    <mergeCell ref="B24:W24"/>
    <mergeCell ref="G25:M25"/>
    <mergeCell ref="N25:O26"/>
    <mergeCell ref="P25:R26"/>
    <mergeCell ref="S25:W25"/>
    <mergeCell ref="G26:M26"/>
    <mergeCell ref="S26:W37"/>
    <mergeCell ref="G27:M27"/>
    <mergeCell ref="N27:O27"/>
    <mergeCell ref="P27:R27"/>
    <mergeCell ref="G28:M28"/>
    <mergeCell ref="N28:O28"/>
    <mergeCell ref="P28:R28"/>
    <mergeCell ref="G29:M29"/>
    <mergeCell ref="N29:O29"/>
    <mergeCell ref="P29:R29"/>
    <mergeCell ref="G30:M30"/>
    <mergeCell ref="N30:O30"/>
    <mergeCell ref="P30:R30"/>
    <mergeCell ref="G31:M31"/>
    <mergeCell ref="N31:O31"/>
    <mergeCell ref="P31:R31"/>
    <mergeCell ref="G32:M32"/>
    <mergeCell ref="N32:O32"/>
    <mergeCell ref="P32:R32"/>
    <mergeCell ref="G33:M33"/>
    <mergeCell ref="N33:O33"/>
    <mergeCell ref="P33:R33"/>
    <mergeCell ref="G34:M34"/>
    <mergeCell ref="N34:O34"/>
    <mergeCell ref="P34:R34"/>
    <mergeCell ref="G35:M35"/>
    <mergeCell ref="N35:O35"/>
    <mergeCell ref="P35:R35"/>
    <mergeCell ref="G36:M36"/>
    <mergeCell ref="N36:O36"/>
    <mergeCell ref="P36:R36"/>
    <mergeCell ref="G37:M37"/>
    <mergeCell ref="N37:O37"/>
    <mergeCell ref="P37:R37"/>
    <mergeCell ref="B38:W39"/>
    <mergeCell ref="B40:W40"/>
    <mergeCell ref="B41:C41"/>
    <mergeCell ref="D41:L41"/>
    <mergeCell ref="M41:W41"/>
    <mergeCell ref="B42:C42"/>
    <mergeCell ref="D42:L42"/>
    <mergeCell ref="M42:W42"/>
    <mergeCell ref="B43:C43"/>
    <mergeCell ref="D43:L43"/>
    <mergeCell ref="M43:W43"/>
    <mergeCell ref="B44:C44"/>
    <mergeCell ref="D44:L44"/>
    <mergeCell ref="M44:W44"/>
    <mergeCell ref="B45:C45"/>
    <mergeCell ref="D45:L45"/>
    <mergeCell ref="M45:W45"/>
    <mergeCell ref="B46:C46"/>
    <mergeCell ref="D46:L46"/>
    <mergeCell ref="M46:W46"/>
    <mergeCell ref="B47:C47"/>
    <mergeCell ref="D47:L47"/>
    <mergeCell ref="M47:W47"/>
    <mergeCell ref="B48:C48"/>
    <mergeCell ref="D48:L48"/>
    <mergeCell ref="M48:W48"/>
    <mergeCell ref="B49:C49"/>
    <mergeCell ref="D49:L49"/>
    <mergeCell ref="M49:W49"/>
    <mergeCell ref="B50:C50"/>
    <mergeCell ref="D50:L50"/>
    <mergeCell ref="M50:W50"/>
    <mergeCell ref="B51:C51"/>
    <mergeCell ref="D51:L51"/>
    <mergeCell ref="M51:W51"/>
    <mergeCell ref="B52:C52"/>
    <mergeCell ref="D52:L52"/>
    <mergeCell ref="M52:W52"/>
    <mergeCell ref="B53:C53"/>
    <mergeCell ref="D53:L53"/>
    <mergeCell ref="M53:W53"/>
    <mergeCell ref="B54:W54"/>
    <mergeCell ref="B55:W59"/>
    <mergeCell ref="D78:E78"/>
    <mergeCell ref="AG78:AH78"/>
    <mergeCell ref="AE79:AE83"/>
    <mergeCell ref="B80:B82"/>
  </mergeCells>
  <conditionalFormatting sqref="C37">
    <cfRule type="expression" priority="2" aboveAverage="0" equalAverage="0" bottom="0" percent="0" rank="0" text="" dxfId="0">
      <formula>OR(ISBLANK($W$22),ISBLANK($W$23))</formula>
    </cfRule>
    <cfRule type="cellIs" priority="3" operator="lessThan" aboveAverage="0" equalAverage="0" bottom="0" percent="0" rank="0" text="" dxfId="1">
      <formula>$V$14</formula>
    </cfRule>
    <cfRule type="cellIs" priority="4" operator="lessThan" aboveAverage="0" equalAverage="0" bottom="0" percent="0" rank="0" text="" dxfId="2">
      <formula>$V$13</formula>
    </cfRule>
    <cfRule type="cellIs" priority="5" operator="between" aboveAverage="0" equalAverage="0" bottom="0" percent="0" rank="0" text="" dxfId="3">
      <formula>$V$13</formula>
      <formula>$W$13</formula>
    </cfRule>
    <cfRule type="cellIs" priority="6" operator="lessThanOrEqual" aboveAverage="0" equalAverage="0" bottom="0" percent="0" rank="0" text="" dxfId="2">
      <formula>$W$14</formula>
    </cfRule>
    <cfRule type="cellIs" priority="7" operator="greaterThan" aboveAverage="0" equalAverage="0" bottom="0" percent="0" rank="0" text="" dxfId="1">
      <formula>$W$14</formula>
    </cfRule>
  </conditionalFormatting>
  <conditionalFormatting sqref="C36">
    <cfRule type="expression" priority="8" aboveAverage="0" equalAverage="0" bottom="0" percent="0" rank="0" text="" dxfId="0">
      <formula>OR(ISBLANK($V$22),ISBLANK($V$23))</formula>
    </cfRule>
    <cfRule type="cellIs" priority="9" operator="lessThan" aboveAverage="0" equalAverage="0" bottom="0" percent="0" rank="0" text="" dxfId="1">
      <formula>$V$14</formula>
    </cfRule>
    <cfRule type="cellIs" priority="10" operator="lessThan" aboveAverage="0" equalAverage="0" bottom="0" percent="0" rank="0" text="" dxfId="2">
      <formula>$V$13</formula>
    </cfRule>
    <cfRule type="cellIs" priority="11" operator="between" aboveAverage="0" equalAverage="0" bottom="0" percent="0" rank="0" text="" dxfId="3">
      <formula>$V$13</formula>
      <formula>$W$13</formula>
    </cfRule>
    <cfRule type="cellIs" priority="12" operator="lessThanOrEqual" aboveAverage="0" equalAverage="0" bottom="0" percent="0" rank="0" text="" dxfId="2">
      <formula>$W$14</formula>
    </cfRule>
    <cfRule type="cellIs" priority="13" operator="greaterThan" aboveAverage="0" equalAverage="0" bottom="0" percent="0" rank="0" text="" dxfId="1">
      <formula>$W$14</formula>
    </cfRule>
  </conditionalFormatting>
  <conditionalFormatting sqref="C35">
    <cfRule type="expression" priority="14" aboveAverage="0" equalAverage="0" bottom="0" percent="0" rank="0" text="" dxfId="0">
      <formula>OR(ISBLANK($T$22),ISBLANK($T$23))</formula>
    </cfRule>
    <cfRule type="cellIs" priority="15" operator="lessThan" aboveAverage="0" equalAverage="0" bottom="0" percent="0" rank="0" text="" dxfId="1">
      <formula>$V$14</formula>
    </cfRule>
    <cfRule type="cellIs" priority="16" operator="lessThan" aboveAverage="0" equalAverage="0" bottom="0" percent="0" rank="0" text="" dxfId="2">
      <formula>$V$13</formula>
    </cfRule>
    <cfRule type="cellIs" priority="17" operator="between" aboveAverage="0" equalAverage="0" bottom="0" percent="0" rank="0" text="" dxfId="3">
      <formula>$V$13</formula>
      <formula>$W$13</formula>
    </cfRule>
    <cfRule type="cellIs" priority="18" operator="lessThanOrEqual" aboveAverage="0" equalAverage="0" bottom="0" percent="0" rank="0" text="" dxfId="2">
      <formula>$W$14</formula>
    </cfRule>
    <cfRule type="cellIs" priority="19" operator="greaterThan" aboveAverage="0" equalAverage="0" bottom="0" percent="0" rank="0" text="" dxfId="1">
      <formula>$W$14</formula>
    </cfRule>
  </conditionalFormatting>
  <conditionalFormatting sqref="C34">
    <cfRule type="expression" priority="20" aboveAverage="0" equalAverage="0" bottom="0" percent="0" rank="0" text="" dxfId="0">
      <formula>OR(ISBLANK($R$22),ISBLANK($R$23))</formula>
    </cfRule>
    <cfRule type="cellIs" priority="21" operator="lessThan" aboveAverage="0" equalAverage="0" bottom="0" percent="0" rank="0" text="" dxfId="1">
      <formula>$V$14</formula>
    </cfRule>
    <cfRule type="cellIs" priority="22" operator="lessThan" aboveAverage="0" equalAverage="0" bottom="0" percent="0" rank="0" text="" dxfId="2">
      <formula>$V$13</formula>
    </cfRule>
    <cfRule type="cellIs" priority="23" operator="between" aboveAverage="0" equalAverage="0" bottom="0" percent="0" rank="0" text="" dxfId="3">
      <formula>$V$13</formula>
      <formula>$W$13</formula>
    </cfRule>
    <cfRule type="cellIs" priority="24" operator="lessThanOrEqual" aboveAverage="0" equalAverage="0" bottom="0" percent="0" rank="0" text="" dxfId="2">
      <formula>$W$14</formula>
    </cfRule>
    <cfRule type="cellIs" priority="25" operator="greaterThan" aboveAverage="0" equalAverage="0" bottom="0" percent="0" rank="0" text="" dxfId="1">
      <formula>$W$14</formula>
    </cfRule>
  </conditionalFormatting>
  <conditionalFormatting sqref="C33">
    <cfRule type="expression" priority="26" aboveAverage="0" equalAverage="0" bottom="0" percent="0" rank="0" text="" dxfId="0">
      <formula>OR(ISBLANK($P$22),ISBLANK($P$23))</formula>
    </cfRule>
    <cfRule type="cellIs" priority="27" operator="lessThan" aboveAverage="0" equalAverage="0" bottom="0" percent="0" rank="0" text="" dxfId="1">
      <formula>$V$14</formula>
    </cfRule>
    <cfRule type="cellIs" priority="28" operator="lessThan" aboveAverage="0" equalAverage="0" bottom="0" percent="0" rank="0" text="" dxfId="2">
      <formula>$V$13</formula>
    </cfRule>
    <cfRule type="cellIs" priority="29" operator="between" aboveAverage="0" equalAverage="0" bottom="0" percent="0" rank="0" text="" dxfId="3">
      <formula>$V$13</formula>
      <formula>$W$13</formula>
    </cfRule>
    <cfRule type="cellIs" priority="30" operator="lessThanOrEqual" aboveAverage="0" equalAverage="0" bottom="0" percent="0" rank="0" text="" dxfId="2">
      <formula>$W$14</formula>
    </cfRule>
    <cfRule type="cellIs" priority="31" operator="greaterThan" aboveAverage="0" equalAverage="0" bottom="0" percent="0" rank="0" text="" dxfId="1">
      <formula>$W$14</formula>
    </cfRule>
  </conditionalFormatting>
  <conditionalFormatting sqref="C32">
    <cfRule type="expression" priority="32" aboveAverage="0" equalAverage="0" bottom="0" percent="0" rank="0" text="" dxfId="0">
      <formula>OR(ISBLANK($N$22),ISBLANK($N$23))</formula>
    </cfRule>
    <cfRule type="cellIs" priority="33" operator="lessThan" aboveAverage="0" equalAverage="0" bottom="0" percent="0" rank="0" text="" dxfId="1">
      <formula>$V$14</formula>
    </cfRule>
    <cfRule type="cellIs" priority="34" operator="lessThan" aboveAverage="0" equalAverage="0" bottom="0" percent="0" rank="0" text="" dxfId="2">
      <formula>$V$13</formula>
    </cfRule>
    <cfRule type="cellIs" priority="35" operator="between" aboveAverage="0" equalAverage="0" bottom="0" percent="0" rank="0" text="" dxfId="3">
      <formula>$V$13</formula>
      <formula>$W$13</formula>
    </cfRule>
    <cfRule type="cellIs" priority="36" operator="lessThanOrEqual" aboveAverage="0" equalAverage="0" bottom="0" percent="0" rank="0" text="" dxfId="2">
      <formula>$W$14</formula>
    </cfRule>
    <cfRule type="cellIs" priority="37" operator="greaterThan" aboveAverage="0" equalAverage="0" bottom="0" percent="0" rank="0" text="" dxfId="1">
      <formula>$W$14</formula>
    </cfRule>
  </conditionalFormatting>
  <conditionalFormatting sqref="C31">
    <cfRule type="expression" priority="38" aboveAverage="0" equalAverage="0" bottom="0" percent="0" rank="0" text="" dxfId="0">
      <formula>OR(ISBLANK($L$22),ISBLANK($L$23))</formula>
    </cfRule>
    <cfRule type="cellIs" priority="39" operator="lessThan" aboveAverage="0" equalAverage="0" bottom="0" percent="0" rank="0" text="" dxfId="1">
      <formula>$V$14</formula>
    </cfRule>
    <cfRule type="cellIs" priority="40" operator="lessThan" aboveAverage="0" equalAverage="0" bottom="0" percent="0" rank="0" text="" dxfId="2">
      <formula>$V$13</formula>
    </cfRule>
    <cfRule type="cellIs" priority="41" operator="between" aboveAverage="0" equalAverage="0" bottom="0" percent="0" rank="0" text="" dxfId="3">
      <formula>$V$13</formula>
      <formula>$W$13</formula>
    </cfRule>
    <cfRule type="cellIs" priority="42" operator="lessThanOrEqual" aboveAverage="0" equalAverage="0" bottom="0" percent="0" rank="0" text="" dxfId="2">
      <formula>$W$14</formula>
    </cfRule>
    <cfRule type="cellIs" priority="43" operator="greaterThan" aboveAverage="0" equalAverage="0" bottom="0" percent="0" rank="0" text="" dxfId="1">
      <formula>$W$14</formula>
    </cfRule>
  </conditionalFormatting>
  <conditionalFormatting sqref="C30">
    <cfRule type="expression" priority="44" aboveAverage="0" equalAverage="0" bottom="0" percent="0" rank="0" text="" dxfId="0">
      <formula>OR(ISBLANK($K$22),ISBLANK($K$23))</formula>
    </cfRule>
    <cfRule type="cellIs" priority="45" operator="lessThan" aboveAverage="0" equalAverage="0" bottom="0" percent="0" rank="0" text="" dxfId="1">
      <formula>$V$14</formula>
    </cfRule>
    <cfRule type="cellIs" priority="46" operator="lessThan" aboveAverage="0" equalAverage="0" bottom="0" percent="0" rank="0" text="" dxfId="2">
      <formula>$V$13</formula>
    </cfRule>
    <cfRule type="cellIs" priority="47" operator="between" aboveAverage="0" equalAverage="0" bottom="0" percent="0" rank="0" text="" dxfId="3">
      <formula>$V$13</formula>
      <formula>$W$13</formula>
    </cfRule>
    <cfRule type="cellIs" priority="48" operator="lessThanOrEqual" aboveAverage="0" equalAverage="0" bottom="0" percent="0" rank="0" text="" dxfId="2">
      <formula>$W$14</formula>
    </cfRule>
    <cfRule type="cellIs" priority="49" operator="greaterThan" aboveAverage="0" equalAverage="0" bottom="0" percent="0" rank="0" text="" dxfId="1">
      <formula>$W$14</formula>
    </cfRule>
  </conditionalFormatting>
  <conditionalFormatting sqref="C29">
    <cfRule type="expression" priority="50" aboveAverage="0" equalAverage="0" bottom="0" percent="0" rank="0" text="" dxfId="0">
      <formula>OR(ISBLANK($H$22),ISBLANK($H$23))</formula>
    </cfRule>
    <cfRule type="cellIs" priority="51" operator="lessThan" aboveAverage="0" equalAverage="0" bottom="0" percent="0" rank="0" text="" dxfId="1">
      <formula>$V$14</formula>
    </cfRule>
    <cfRule type="cellIs" priority="52" operator="lessThan" aboveAverage="0" equalAverage="0" bottom="0" percent="0" rank="0" text="" dxfId="2">
      <formula>$V$13</formula>
    </cfRule>
    <cfRule type="cellIs" priority="53" operator="between" aboveAverage="0" equalAverage="0" bottom="0" percent="0" rank="0" text="" dxfId="3">
      <formula>$V$13</formula>
      <formula>$W$13</formula>
    </cfRule>
    <cfRule type="cellIs" priority="54" operator="lessThanOrEqual" aboveAverage="0" equalAverage="0" bottom="0" percent="0" rank="0" text="" dxfId="2">
      <formula>$W$14</formula>
    </cfRule>
    <cfRule type="cellIs" priority="55" operator="greaterThan" aboveAverage="0" equalAverage="0" bottom="0" percent="0" rank="0" text="" dxfId="1">
      <formula>$W$14</formula>
    </cfRule>
  </conditionalFormatting>
  <conditionalFormatting sqref="C28">
    <cfRule type="expression" priority="56" aboveAverage="0" equalAverage="0" bottom="0" percent="0" rank="0" text="" dxfId="0">
      <formula>OR(ISBLANK($F$22),ISBLANK($F$23))</formula>
    </cfRule>
    <cfRule type="cellIs" priority="57" operator="lessThan" aboveAverage="0" equalAverage="0" bottom="0" percent="0" rank="0" text="" dxfId="1">
      <formula>$V$14</formula>
    </cfRule>
    <cfRule type="cellIs" priority="58" operator="lessThan" aboveAverage="0" equalAverage="0" bottom="0" percent="0" rank="0" text="" dxfId="2">
      <formula>$V$13</formula>
    </cfRule>
    <cfRule type="cellIs" priority="59" operator="between" aboveAverage="0" equalAverage="0" bottom="0" percent="0" rank="0" text="" dxfId="3">
      <formula>$V$13</formula>
      <formula>$W$13</formula>
    </cfRule>
    <cfRule type="cellIs" priority="60" operator="lessThanOrEqual" aboveAverage="0" equalAverage="0" bottom="0" percent="0" rank="0" text="" dxfId="2">
      <formula>$W$14</formula>
    </cfRule>
    <cfRule type="cellIs" priority="61" operator="greaterThan" aboveAverage="0" equalAverage="0" bottom="0" percent="0" rank="0" text="" dxfId="1">
      <formula>$W$14</formula>
    </cfRule>
  </conditionalFormatting>
  <conditionalFormatting sqref="C27">
    <cfRule type="expression" priority="62" aboveAverage="0" equalAverage="0" bottom="0" percent="0" rank="0" text="" dxfId="0">
      <formula>OR(ISBLANK($E$22),ISBLANK($E$23))</formula>
    </cfRule>
    <cfRule type="cellIs" priority="63" operator="lessThan" aboveAverage="0" equalAverage="0" bottom="0" percent="0" rank="0" text="" dxfId="1">
      <formula>$V$14</formula>
    </cfRule>
    <cfRule type="cellIs" priority="64" operator="lessThan" aboveAverage="0" equalAverage="0" bottom="0" percent="0" rank="0" text="" dxfId="2">
      <formula>$V$13</formula>
    </cfRule>
    <cfRule type="cellIs" priority="65" operator="between" aboveAverage="0" equalAverage="0" bottom="0" percent="0" rank="0" text="" dxfId="3">
      <formula>$V$13</formula>
      <formula>$W$13</formula>
    </cfRule>
    <cfRule type="cellIs" priority="66" operator="lessThanOrEqual" aboveAverage="0" equalAverage="0" bottom="0" percent="0" rank="0" text="" dxfId="2">
      <formula>$W$14</formula>
    </cfRule>
    <cfRule type="cellIs" priority="67" operator="greaterThan" aboveAverage="0" equalAverage="0" bottom="0" percent="0" rank="0" text="" dxfId="1">
      <formula>$W$14</formula>
    </cfRule>
  </conditionalFormatting>
  <conditionalFormatting sqref="C26">
    <cfRule type="expression" priority="68" aboveAverage="0" equalAverage="0" bottom="0" percent="0" rank="0" text="" dxfId="0">
      <formula>OR(ISBLANK($D$22),ISBLANK($D$23))</formula>
    </cfRule>
    <cfRule type="cellIs" priority="69" operator="lessThan" aboveAverage="0" equalAverage="0" bottom="0" percent="0" rank="0" text="" dxfId="1">
      <formula>$V$14</formula>
    </cfRule>
    <cfRule type="cellIs" priority="70" operator="lessThan" aboveAverage="0" equalAverage="0" bottom="0" percent="0" rank="0" text="" dxfId="2">
      <formula>$V$13</formula>
    </cfRule>
    <cfRule type="cellIs" priority="71" operator="between" aboveAverage="0" equalAverage="0" bottom="0" percent="0" rank="0" text="" dxfId="3">
      <formula>$V$13</formula>
      <formula>$W$13</formula>
    </cfRule>
    <cfRule type="cellIs" priority="72" operator="lessThanOrEqual" aboveAverage="0" equalAverage="0" bottom="0" percent="0" rank="0" text="" dxfId="2">
      <formula>$W$14</formula>
    </cfRule>
    <cfRule type="cellIs" priority="73" operator="greaterThan" aboveAverage="0" equalAverage="0" bottom="0" percent="0" rank="0" text="" dxfId="1">
      <formula>$W$14</formula>
    </cfRule>
  </conditionalFormatting>
  <conditionalFormatting sqref="O256">
    <cfRule type="cellIs" priority="74" operator="equal" aboveAverage="0" equalAverage="0" bottom="0" percent="0" rank="0" text="" dxfId="4">
      <formula>$K$12</formula>
    </cfRule>
  </conditionalFormatting>
  <dataValidations count="6">
    <dataValidation allowBlank="true" errorStyle="stop" operator="between" showDropDown="false" showErrorMessage="true" showInputMessage="true" sqref="P12:R12" type="list">
      <formula1>$AF$79:$AF$84</formula1>
      <formula2>0</formula2>
    </dataValidation>
    <dataValidation allowBlank="true" errorStyle="stop" operator="between" showDropDown="false" showErrorMessage="true" showInputMessage="true" sqref="D18:H18" type="list">
      <formula1>$M$79:$M$82</formula1>
      <formula2>0</formula2>
    </dataValidation>
    <dataValidation allowBlank="true" errorStyle="stop" operator="between" showDropDown="false" showErrorMessage="true" showInputMessage="true" sqref="R4:W5" type="list">
      <formula1>$C$80:$C$82</formula1>
      <formula2>0</formula2>
    </dataValidation>
    <dataValidation allowBlank="true" errorStyle="stop" operator="between" showDropDown="false" showErrorMessage="true" showInputMessage="true" sqref="M18:P18" type="list">
      <formula1>$T$79:$T$91</formula1>
      <formula2>0</formula2>
    </dataValidation>
    <dataValidation allowBlank="true" errorStyle="stop" operator="between" showDropDown="false" showErrorMessage="true" showInputMessage="true" sqref="T18:W18" type="list">
      <formula1>$Y$79:$Y$97</formula1>
      <formula2>0</formula2>
    </dataValidation>
    <dataValidation allowBlank="true" errorStyle="stop" operator="between" showDropDown="false" showErrorMessage="true" showInputMessage="true" sqref="D19:H19 M19:P19 T19:W19" type="list">
      <formula1>$AC$79:$AC$103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N22" activeCellId="0" sqref="N2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9.42"/>
    <col collapsed="false" customWidth="true" hidden="false" outlineLevel="0" max="3" min="3" style="1" width="13.42"/>
    <col collapsed="false" customWidth="true" hidden="false" outlineLevel="0" max="4" min="4" style="1" width="13.57"/>
    <col collapsed="false" customWidth="true" hidden="false" outlineLevel="0" max="5" min="5" style="1" width="14.29"/>
    <col collapsed="false" customWidth="true" hidden="false" outlineLevel="0" max="6" min="6" style="1" width="8.57"/>
    <col collapsed="false" customWidth="true" hidden="false" outlineLevel="0" max="7" min="7" style="1" width="3.71"/>
    <col collapsed="false" customWidth="true" hidden="false" outlineLevel="0" max="8" min="8" style="1" width="3.57"/>
    <col collapsed="false" customWidth="true" hidden="false" outlineLevel="0" max="9" min="9" style="1" width="3"/>
    <col collapsed="false" customWidth="true" hidden="false" outlineLevel="0" max="10" min="10" style="1" width="5.29"/>
    <col collapsed="false" customWidth="true" hidden="false" outlineLevel="0" max="11" min="11" style="1" width="10.29"/>
    <col collapsed="false" customWidth="true" hidden="false" outlineLevel="0" max="12" min="12" style="1" width="3"/>
    <col collapsed="false" customWidth="true" hidden="false" outlineLevel="0" max="13" min="13" style="1" width="6.85"/>
    <col collapsed="false" customWidth="true" hidden="false" outlineLevel="0" max="14" min="14" style="1" width="6.71"/>
    <col collapsed="false" customWidth="true" hidden="false" outlineLevel="0" max="15" min="15" style="1" width="7.42"/>
    <col collapsed="false" customWidth="true" hidden="false" outlineLevel="0" max="16" min="16" style="1" width="7.15"/>
    <col collapsed="false" customWidth="true" hidden="false" outlineLevel="0" max="18" min="17" style="1" width="7"/>
    <col collapsed="false" customWidth="true" hidden="false" outlineLevel="0" max="19" min="19" style="1" width="2.29"/>
    <col collapsed="false" customWidth="true" hidden="false" outlineLevel="0" max="20" min="20" style="1" width="6.71"/>
    <col collapsed="false" customWidth="true" hidden="false" outlineLevel="0" max="21" min="21" style="1" width="3.71"/>
    <col collapsed="false" customWidth="true" hidden="false" outlineLevel="0" max="22" min="22" style="1" width="9.71"/>
    <col collapsed="false" customWidth="true" hidden="false" outlineLevel="0" max="23" min="23" style="1" width="11.14"/>
    <col collapsed="false" customWidth="true" hidden="false" outlineLevel="0" max="24" min="24" style="1" width="2.15"/>
    <col collapsed="false" customWidth="false" hidden="false" outlineLevel="0" max="26" min="25" style="1" width="11.43"/>
    <col collapsed="false" customWidth="false" hidden="false" outlineLevel="0" max="27" min="27" style="2" width="11.43"/>
    <col collapsed="false" customWidth="false" hidden="false" outlineLevel="0" max="32" min="28" style="1" width="11.43"/>
    <col collapsed="false" customWidth="true" hidden="false" outlineLevel="0" max="33" min="33" style="1" width="8.15"/>
    <col collapsed="false" customWidth="true" hidden="false" outlineLevel="0" max="34" min="34" style="1" width="8.86"/>
    <col collapsed="false" customWidth="true" hidden="false" outlineLevel="0" max="35" min="35" style="1" width="6.57"/>
    <col collapsed="false" customWidth="true" hidden="false" outlineLevel="0" max="37" min="36" style="1" width="6.29"/>
    <col collapsed="false" customWidth="true" hidden="false" outlineLevel="0" max="38" min="38" style="1" width="6"/>
    <col collapsed="false" customWidth="true" hidden="false" outlineLevel="0" max="39" min="39" style="1" width="5.57"/>
    <col collapsed="false" customWidth="true" hidden="false" outlineLevel="0" max="40" min="40" style="1" width="6.85"/>
    <col collapsed="false" customWidth="true" hidden="false" outlineLevel="0" max="41" min="41" style="1" width="5.42"/>
    <col collapsed="false" customWidth="true" hidden="false" outlineLevel="0" max="42" min="42" style="1" width="6"/>
    <col collapsed="false" customWidth="true" hidden="false" outlineLevel="0" max="43" min="43" style="1" width="6.57"/>
    <col collapsed="false" customWidth="true" hidden="false" outlineLevel="0" max="44" min="44" style="1" width="6.43"/>
    <col collapsed="false" customWidth="false" hidden="false" outlineLevel="0" max="16384" min="45" style="1" width="11.43"/>
  </cols>
  <sheetData>
    <row r="1" s="2" customFormat="true" ht="13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2" customFormat="true" ht="15.75" hidden="false" customHeight="true" outlineLevel="0" collapsed="false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1"/>
      <c r="Y2" s="1"/>
      <c r="Z2" s="1"/>
    </row>
    <row r="3" s="2" customFormat="true" ht="19.5" hidden="false" customHeight="true" outlineLevel="0" collapsed="false">
      <c r="B3" s="6"/>
      <c r="C3" s="7" t="s">
        <v>1</v>
      </c>
      <c r="D3" s="7"/>
      <c r="E3" s="7"/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3</v>
      </c>
      <c r="S3" s="9"/>
      <c r="T3" s="9"/>
      <c r="U3" s="9"/>
      <c r="V3" s="9"/>
      <c r="W3" s="9"/>
      <c r="X3" s="1"/>
      <c r="Y3" s="1"/>
      <c r="Z3" s="1"/>
    </row>
    <row r="4" s="2" customFormat="true" ht="15" hidden="false" customHeight="true" outlineLevel="0" collapsed="false">
      <c r="B4" s="6"/>
      <c r="C4" s="10" t="s">
        <v>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1" t="s">
        <v>5</v>
      </c>
      <c r="S4" s="11"/>
      <c r="T4" s="11"/>
      <c r="U4" s="11"/>
      <c r="V4" s="11"/>
      <c r="W4" s="11"/>
      <c r="X4" s="1"/>
      <c r="Y4" s="1"/>
      <c r="Z4" s="1"/>
    </row>
    <row r="5" s="2" customFormat="true" ht="11.25" hidden="false" customHeight="true" outlineLevel="0" collapsed="false">
      <c r="B5" s="6"/>
      <c r="C5" s="10"/>
      <c r="D5" s="10"/>
      <c r="E5" s="1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"/>
      <c r="Y5" s="1"/>
      <c r="Z5" s="1"/>
    </row>
    <row r="6" s="2" customFormat="true" ht="19.5" hidden="false" customHeight="true" outlineLevel="0" collapsed="false">
      <c r="B6" s="12" t="str">
        <f aca="false">IF(ISBLANK(R4)," ",VLOOKUP(R4,C80:E82,2,FALSE()))</f>
        <v>PROCESO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"/>
      <c r="Y6" s="1"/>
      <c r="Z6" s="1"/>
    </row>
    <row r="7" s="2" customFormat="true" ht="30" hidden="false" customHeight="true" outlineLevel="0" collapsed="false">
      <c r="B7" s="13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"/>
      <c r="Y7" s="1"/>
      <c r="Z7" s="1"/>
    </row>
    <row r="8" s="2" customFormat="true" ht="18" hidden="false" customHeight="true" outlineLevel="0" collapsed="false">
      <c r="B8" s="12" t="str">
        <f aca="false">IF(ISBLANK(R4)," ",VLOOKUP(R4,C80:E82,3,FALSE()))</f>
        <v>OBJETIVO DEL PROCESO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"/>
      <c r="Y8" s="1"/>
      <c r="Z8" s="1"/>
    </row>
    <row r="9" s="2" customFormat="true" ht="39" hidden="false" customHeight="true" outlineLevel="0" collapsed="false">
      <c r="B9" s="13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"/>
      <c r="Y9" s="1"/>
      <c r="Z9" s="1"/>
    </row>
    <row r="10" s="2" customFormat="true" ht="24.75" hidden="false" customHeight="true" outlineLevel="0" collapsed="false">
      <c r="B10" s="14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"/>
      <c r="Y10" s="1"/>
      <c r="Z10" s="1"/>
    </row>
    <row r="11" s="2" customFormat="true" ht="30" hidden="false" customHeight="true" outlineLevel="0" collapsed="false">
      <c r="B11" s="15" t="s">
        <v>9</v>
      </c>
      <c r="C11" s="15"/>
      <c r="D11" s="16" t="s">
        <v>189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 t="s">
        <v>11</v>
      </c>
      <c r="T11" s="17"/>
      <c r="U11" s="17"/>
      <c r="V11" s="17"/>
      <c r="W11" s="17"/>
      <c r="X11" s="1"/>
      <c r="Y11" s="1"/>
      <c r="Z11" s="1"/>
    </row>
    <row r="12" s="1" customFormat="true" ht="30" hidden="false" customHeight="true" outlineLevel="0" collapsed="false">
      <c r="B12" s="18" t="s">
        <v>12</v>
      </c>
      <c r="C12" s="18"/>
      <c r="D12" s="16" t="s">
        <v>13</v>
      </c>
      <c r="E12" s="16"/>
      <c r="F12" s="16"/>
      <c r="G12" s="19" t="s">
        <v>14</v>
      </c>
      <c r="H12" s="19"/>
      <c r="I12" s="19"/>
      <c r="J12" s="19"/>
      <c r="K12" s="16" t="s">
        <v>190</v>
      </c>
      <c r="L12" s="16"/>
      <c r="M12" s="16"/>
      <c r="N12" s="20" t="s">
        <v>16</v>
      </c>
      <c r="O12" s="20"/>
      <c r="P12" s="16" t="s">
        <v>17</v>
      </c>
      <c r="Q12" s="16"/>
      <c r="R12" s="16"/>
      <c r="S12" s="21"/>
      <c r="T12" s="21"/>
      <c r="U12" s="21"/>
      <c r="V12" s="17" t="s">
        <v>18</v>
      </c>
      <c r="W12" s="17" t="s">
        <v>19</v>
      </c>
    </row>
    <row r="13" s="2" customFormat="true" ht="30" hidden="false" customHeight="true" outlineLevel="0" collapsed="false">
      <c r="B13" s="18" t="s">
        <v>20</v>
      </c>
      <c r="C13" s="18"/>
      <c r="D13" s="22" t="s">
        <v>191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3"/>
      <c r="U13" s="23"/>
      <c r="V13" s="24" t="n">
        <v>100</v>
      </c>
      <c r="W13" s="24" t="n">
        <v>500</v>
      </c>
      <c r="X13" s="1"/>
      <c r="Y13" s="1"/>
      <c r="Z13" s="1"/>
    </row>
    <row r="14" s="2" customFormat="true" ht="30" hidden="false" customHeight="true" outlineLevel="0" collapsed="false">
      <c r="B14" s="18"/>
      <c r="C14" s="18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5"/>
      <c r="T14" s="26"/>
      <c r="U14" s="27"/>
      <c r="V14" s="24" t="n">
        <v>95</v>
      </c>
      <c r="W14" s="24" t="n">
        <v>1000</v>
      </c>
      <c r="X14" s="1"/>
      <c r="Y14" s="1"/>
      <c r="Z14" s="1"/>
    </row>
    <row r="15" customFormat="false" ht="30" hidden="false" customHeight="true" outlineLevel="0" collapsed="false">
      <c r="B15" s="18"/>
      <c r="C15" s="1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8"/>
      <c r="T15" s="29"/>
      <c r="U15" s="30"/>
      <c r="V15" s="24" t="str">
        <f aca="false">CONCATENATE("&lt; ",V14)</f>
        <v>&lt; 95</v>
      </c>
      <c r="W15" s="24" t="str">
        <f aca="false">CONCATENATE("&gt; ",W14)</f>
        <v>&gt; 1000</v>
      </c>
    </row>
    <row r="16" customFormat="false" ht="30" hidden="false" customHeight="true" outlineLevel="0" collapsed="false">
      <c r="B16" s="31" t="s">
        <v>22</v>
      </c>
      <c r="C16" s="31"/>
      <c r="D16" s="32" t="s">
        <v>23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8" t="s">
        <v>24</v>
      </c>
      <c r="T16" s="18"/>
      <c r="U16" s="18"/>
      <c r="V16" s="33" t="s">
        <v>25</v>
      </c>
      <c r="W16" s="33"/>
    </row>
    <row r="17" customFormat="false" ht="14.25" hidden="false" customHeight="true" outlineLevel="0" collapsed="false">
      <c r="B17" s="34" t="s">
        <v>26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customFormat="false" ht="26.25" hidden="false" customHeight="true" outlineLevel="0" collapsed="false">
      <c r="B18" s="31" t="s">
        <v>27</v>
      </c>
      <c r="C18" s="31"/>
      <c r="D18" s="35" t="s">
        <v>28</v>
      </c>
      <c r="E18" s="35"/>
      <c r="F18" s="35"/>
      <c r="G18" s="35"/>
      <c r="H18" s="35"/>
      <c r="I18" s="31" t="s">
        <v>29</v>
      </c>
      <c r="J18" s="31"/>
      <c r="K18" s="31"/>
      <c r="L18" s="31"/>
      <c r="M18" s="16" t="s">
        <v>30</v>
      </c>
      <c r="N18" s="16"/>
      <c r="O18" s="16"/>
      <c r="P18" s="16"/>
      <c r="Q18" s="18" t="s">
        <v>31</v>
      </c>
      <c r="R18" s="18"/>
      <c r="S18" s="18"/>
      <c r="T18" s="36" t="s">
        <v>32</v>
      </c>
      <c r="U18" s="36"/>
      <c r="V18" s="36"/>
      <c r="W18" s="36"/>
      <c r="X18" s="37"/>
    </row>
    <row r="19" customFormat="false" ht="30" hidden="false" customHeight="true" outlineLevel="0" collapsed="false">
      <c r="B19" s="31" t="s">
        <v>33</v>
      </c>
      <c r="C19" s="31"/>
      <c r="D19" s="35" t="s">
        <v>34</v>
      </c>
      <c r="E19" s="35"/>
      <c r="F19" s="35"/>
      <c r="G19" s="35"/>
      <c r="H19" s="35"/>
      <c r="I19" s="18" t="s">
        <v>35</v>
      </c>
      <c r="J19" s="18"/>
      <c r="K19" s="18"/>
      <c r="L19" s="18"/>
      <c r="M19" s="16" t="s">
        <v>34</v>
      </c>
      <c r="N19" s="16"/>
      <c r="O19" s="16"/>
      <c r="P19" s="16"/>
      <c r="Q19" s="18" t="s">
        <v>36</v>
      </c>
      <c r="R19" s="18"/>
      <c r="S19" s="18"/>
      <c r="T19" s="36" t="s">
        <v>34</v>
      </c>
      <c r="U19" s="36"/>
      <c r="V19" s="36"/>
      <c r="W19" s="36"/>
    </row>
    <row r="20" customFormat="false" ht="17.25" hidden="false" customHeight="true" outlineLevel="0" collapsed="false">
      <c r="B20" s="14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24.75" hidden="false" customHeight="true" outlineLevel="0" collapsed="false">
      <c r="B21" s="38" t="s">
        <v>38</v>
      </c>
      <c r="C21" s="38"/>
      <c r="D21" s="39" t="str">
        <f aca="false">VLOOKUP(P12,$AF$79:$AR$84,2,FALSE())</f>
        <v>Oct.</v>
      </c>
      <c r="E21" s="39" t="str">
        <f aca="false">VLOOKUP(P12,$AF$79:$AR$84,3,FALSE())</f>
        <v>Nov.</v>
      </c>
      <c r="F21" s="40" t="str">
        <f aca="false">VLOOKUP(P12,$AF$79:$AR$84,4,FALSE())</f>
        <v>Dic.</v>
      </c>
      <c r="G21" s="40"/>
      <c r="H21" s="40" t="str">
        <f aca="false">VLOOKUP(P12,$AF$79:$AR$84,5,FALSE())</f>
        <v>Ene.</v>
      </c>
      <c r="I21" s="40"/>
      <c r="J21" s="40"/>
      <c r="K21" s="41" t="str">
        <f aca="false">VLOOKUP(P12,$AF$79:$AR$84,6,FALSE())</f>
        <v>Feb.</v>
      </c>
      <c r="L21" s="42" t="str">
        <f aca="false">VLOOKUP(P12,$AF$79:$AR$84,7,FALSE())</f>
        <v>Mar.</v>
      </c>
      <c r="M21" s="42"/>
      <c r="N21" s="42" t="str">
        <f aca="false">VLOOKUP(P12,$AF$79:$AR$84,8,FALSE())</f>
        <v>Abr.</v>
      </c>
      <c r="O21" s="42"/>
      <c r="P21" s="43" t="str">
        <f aca="false">VLOOKUP(P12,$AF$79:$AR$84,9,FALSE())</f>
        <v>May.</v>
      </c>
      <c r="Q21" s="43"/>
      <c r="R21" s="43" t="str">
        <f aca="false">VLOOKUP(P12,$AF$79:$AR$84,10,FALSE())</f>
        <v>Jun.</v>
      </c>
      <c r="S21" s="43"/>
      <c r="T21" s="44" t="str">
        <f aca="false">VLOOKUP(P12,$AF$79:$AR$84,11,FALSE())</f>
        <v>Jul.</v>
      </c>
      <c r="U21" s="44"/>
      <c r="V21" s="45" t="str">
        <f aca="false">VLOOKUP(P12,$AF$79:$AR$84,12,FALSE())</f>
        <v>Ago.</v>
      </c>
      <c r="W21" s="41" t="str">
        <f aca="false">VLOOKUP(P12,$AF$79:$AR$84,13,FALSE())</f>
        <v>Sep.</v>
      </c>
    </row>
    <row r="22" customFormat="false" ht="24.75" hidden="false" customHeight="true" outlineLevel="0" collapsed="false">
      <c r="B22" s="46" t="s">
        <v>192</v>
      </c>
      <c r="C22" s="46"/>
      <c r="D22" s="47" t="n">
        <v>13</v>
      </c>
      <c r="E22" s="47" t="n">
        <v>14</v>
      </c>
      <c r="F22" s="47" t="n">
        <v>4</v>
      </c>
      <c r="G22" s="47"/>
      <c r="H22" s="47" t="n">
        <v>10</v>
      </c>
      <c r="I22" s="47"/>
      <c r="J22" s="47"/>
      <c r="K22" s="47" t="n">
        <v>10</v>
      </c>
      <c r="L22" s="47" t="n">
        <v>15</v>
      </c>
      <c r="M22" s="47"/>
      <c r="N22" s="47" t="n">
        <v>9</v>
      </c>
      <c r="O22" s="47"/>
      <c r="P22" s="47" t="n">
        <v>10</v>
      </c>
      <c r="Q22" s="47"/>
      <c r="R22" s="47"/>
      <c r="S22" s="47"/>
      <c r="T22" s="47"/>
      <c r="U22" s="47"/>
      <c r="V22" s="48"/>
      <c r="W22" s="49"/>
    </row>
    <row r="23" customFormat="false" ht="24.75" hidden="false" customHeight="true" outlineLevel="0" collapsed="false">
      <c r="B23" s="50" t="s">
        <v>193</v>
      </c>
      <c r="C23" s="50"/>
      <c r="D23" s="51" t="n">
        <v>13</v>
      </c>
      <c r="E23" s="51" t="n">
        <v>14</v>
      </c>
      <c r="F23" s="47" t="n">
        <v>4</v>
      </c>
      <c r="G23" s="47"/>
      <c r="H23" s="47" t="n">
        <v>10</v>
      </c>
      <c r="I23" s="47"/>
      <c r="J23" s="47"/>
      <c r="K23" s="51" t="n">
        <v>10</v>
      </c>
      <c r="L23" s="47" t="n">
        <v>15</v>
      </c>
      <c r="M23" s="47"/>
      <c r="N23" s="47" t="n">
        <v>9</v>
      </c>
      <c r="O23" s="47"/>
      <c r="P23" s="47" t="n">
        <v>10</v>
      </c>
      <c r="Q23" s="47"/>
      <c r="R23" s="47"/>
      <c r="S23" s="47"/>
      <c r="T23" s="47"/>
      <c r="U23" s="47"/>
      <c r="V23" s="48"/>
      <c r="W23" s="52"/>
    </row>
    <row r="24" customFormat="false" ht="15" hidden="false" customHeight="true" outlineLevel="0" collapsed="false">
      <c r="B24" s="53" t="s">
        <v>41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15" hidden="false" customHeight="true" outlineLevel="0" collapsed="false">
      <c r="B25" s="54" t="s">
        <v>42</v>
      </c>
      <c r="C25" s="55" t="s">
        <v>43</v>
      </c>
      <c r="D25" s="55" t="s">
        <v>18</v>
      </c>
      <c r="E25" s="55" t="s">
        <v>19</v>
      </c>
      <c r="F25" s="56"/>
      <c r="G25" s="57"/>
      <c r="H25" s="57"/>
      <c r="I25" s="57"/>
      <c r="J25" s="57"/>
      <c r="K25" s="57"/>
      <c r="L25" s="57"/>
      <c r="M25" s="57"/>
      <c r="N25" s="58"/>
      <c r="O25" s="58"/>
      <c r="P25" s="58"/>
      <c r="Q25" s="58"/>
      <c r="R25" s="58"/>
      <c r="S25" s="59"/>
      <c r="T25" s="59"/>
      <c r="U25" s="59"/>
      <c r="V25" s="59"/>
      <c r="W25" s="59"/>
    </row>
    <row r="26" customFormat="false" ht="15" hidden="false" customHeight="true" outlineLevel="0" collapsed="false">
      <c r="B26" s="60" t="str">
        <f aca="false">D21</f>
        <v>Oct.</v>
      </c>
      <c r="C26" s="61" t="n">
        <f aca="false">IF(D23=0," ",D22*100/D23)</f>
        <v>100</v>
      </c>
      <c r="D26" s="62" t="n">
        <f aca="false">IF(ISBLANK($V$13)," ",$V$13)</f>
        <v>100</v>
      </c>
      <c r="E26" s="62"/>
      <c r="F26" s="63"/>
      <c r="G26" s="64"/>
      <c r="H26" s="64"/>
      <c r="I26" s="64"/>
      <c r="J26" s="64"/>
      <c r="K26" s="64"/>
      <c r="L26" s="64"/>
      <c r="M26" s="64"/>
      <c r="N26" s="58"/>
      <c r="O26" s="58"/>
      <c r="P26" s="58"/>
      <c r="Q26" s="58"/>
      <c r="R26" s="58"/>
      <c r="S26" s="65"/>
      <c r="T26" s="65"/>
      <c r="U26" s="65"/>
      <c r="V26" s="65"/>
      <c r="W26" s="65"/>
    </row>
    <row r="27" customFormat="false" ht="15" hidden="false" customHeight="true" outlineLevel="0" collapsed="false">
      <c r="B27" s="60" t="str">
        <f aca="false">E21</f>
        <v>Nov.</v>
      </c>
      <c r="C27" s="61" t="n">
        <f aca="false">IF(E23=0," ",E22*100/E23)</f>
        <v>100</v>
      </c>
      <c r="D27" s="62" t="n">
        <f aca="false">IF(ISBLANK($V$13)," ",$V$13)</f>
        <v>100</v>
      </c>
      <c r="E27" s="62"/>
      <c r="F27" s="63"/>
      <c r="G27" s="64"/>
      <c r="H27" s="64"/>
      <c r="I27" s="64"/>
      <c r="J27" s="64"/>
      <c r="K27" s="64"/>
      <c r="L27" s="64"/>
      <c r="M27" s="64"/>
      <c r="N27" s="58"/>
      <c r="O27" s="58"/>
      <c r="P27" s="58"/>
      <c r="Q27" s="58"/>
      <c r="R27" s="58"/>
      <c r="S27" s="65"/>
      <c r="T27" s="65"/>
      <c r="U27" s="65"/>
      <c r="V27" s="65"/>
      <c r="W27" s="65"/>
    </row>
    <row r="28" customFormat="false" ht="15" hidden="false" customHeight="true" outlineLevel="0" collapsed="false">
      <c r="B28" s="60" t="str">
        <f aca="false">F21</f>
        <v>Dic.</v>
      </c>
      <c r="C28" s="61" t="n">
        <f aca="false">IF(F23=0," ",F22*100/F23)</f>
        <v>100</v>
      </c>
      <c r="D28" s="62" t="n">
        <f aca="false">IF(ISBLANK($V$13)," ",$V$13)</f>
        <v>100</v>
      </c>
      <c r="E28" s="62"/>
      <c r="F28" s="63"/>
      <c r="G28" s="64"/>
      <c r="H28" s="64"/>
      <c r="I28" s="64"/>
      <c r="J28" s="64"/>
      <c r="K28" s="64"/>
      <c r="L28" s="64"/>
      <c r="M28" s="64"/>
      <c r="N28" s="58"/>
      <c r="O28" s="58"/>
      <c r="P28" s="58"/>
      <c r="Q28" s="58"/>
      <c r="R28" s="58"/>
      <c r="S28" s="65"/>
      <c r="T28" s="65"/>
      <c r="U28" s="65"/>
      <c r="V28" s="65"/>
      <c r="W28" s="65"/>
    </row>
    <row r="29" customFormat="false" ht="15" hidden="false" customHeight="true" outlineLevel="0" collapsed="false">
      <c r="B29" s="60" t="str">
        <f aca="false">H21</f>
        <v>Ene.</v>
      </c>
      <c r="C29" s="61" t="n">
        <f aca="false">IF(H23=0," ",H22*100/H23)</f>
        <v>100</v>
      </c>
      <c r="D29" s="62" t="n">
        <f aca="false">IF(ISBLANK($V$13)," ",$V$13)</f>
        <v>100</v>
      </c>
      <c r="E29" s="62"/>
      <c r="F29" s="63"/>
      <c r="G29" s="64"/>
      <c r="H29" s="64"/>
      <c r="I29" s="64"/>
      <c r="J29" s="64"/>
      <c r="K29" s="64"/>
      <c r="L29" s="64"/>
      <c r="M29" s="64"/>
      <c r="N29" s="58"/>
      <c r="O29" s="58"/>
      <c r="P29" s="58"/>
      <c r="Q29" s="58"/>
      <c r="R29" s="58"/>
      <c r="S29" s="65"/>
      <c r="T29" s="65"/>
      <c r="U29" s="65"/>
      <c r="V29" s="65"/>
      <c r="W29" s="65"/>
      <c r="AB29" s="66"/>
      <c r="AC29" s="66"/>
      <c r="AD29" s="66"/>
    </row>
    <row r="30" customFormat="false" ht="15" hidden="false" customHeight="true" outlineLevel="0" collapsed="false">
      <c r="B30" s="60" t="str">
        <f aca="false">K21</f>
        <v>Feb.</v>
      </c>
      <c r="C30" s="61" t="n">
        <f aca="false">IF(K23=0," ",K22*100/K23)</f>
        <v>100</v>
      </c>
      <c r="D30" s="62" t="n">
        <f aca="false">IF(ISBLANK($V$13)," ",$V$13)</f>
        <v>100</v>
      </c>
      <c r="E30" s="62"/>
      <c r="F30" s="63"/>
      <c r="G30" s="64"/>
      <c r="H30" s="64"/>
      <c r="I30" s="64"/>
      <c r="J30" s="64"/>
      <c r="K30" s="64"/>
      <c r="L30" s="64"/>
      <c r="M30" s="64"/>
      <c r="N30" s="58"/>
      <c r="O30" s="58"/>
      <c r="P30" s="58"/>
      <c r="Q30" s="58"/>
      <c r="R30" s="58"/>
      <c r="S30" s="65"/>
      <c r="T30" s="65"/>
      <c r="U30" s="65"/>
      <c r="V30" s="65"/>
      <c r="W30" s="65"/>
      <c r="AB30" s="66"/>
      <c r="AC30" s="66"/>
      <c r="AD30" s="66"/>
    </row>
    <row r="31" customFormat="false" ht="15" hidden="false" customHeight="true" outlineLevel="0" collapsed="false">
      <c r="B31" s="60" t="str">
        <f aca="false">L21</f>
        <v>Mar.</v>
      </c>
      <c r="C31" s="61" t="n">
        <f aca="false">IF(L23=0," ",L22*100/L23)</f>
        <v>100</v>
      </c>
      <c r="D31" s="62" t="n">
        <f aca="false">IF(ISBLANK($V$13)," ",$V$13)</f>
        <v>100</v>
      </c>
      <c r="E31" s="62"/>
      <c r="F31" s="63"/>
      <c r="G31" s="64"/>
      <c r="H31" s="64"/>
      <c r="I31" s="64"/>
      <c r="J31" s="64"/>
      <c r="K31" s="64"/>
      <c r="L31" s="64"/>
      <c r="M31" s="64"/>
      <c r="N31" s="58"/>
      <c r="O31" s="58"/>
      <c r="P31" s="58"/>
      <c r="Q31" s="58"/>
      <c r="R31" s="58"/>
      <c r="S31" s="65"/>
      <c r="T31" s="65"/>
      <c r="U31" s="65"/>
      <c r="V31" s="65"/>
      <c r="W31" s="65"/>
      <c r="AB31" s="66"/>
      <c r="AC31" s="66"/>
      <c r="AD31" s="66"/>
    </row>
    <row r="32" customFormat="false" ht="15" hidden="false" customHeight="true" outlineLevel="0" collapsed="false">
      <c r="B32" s="60" t="str">
        <f aca="false">N21</f>
        <v>Abr.</v>
      </c>
      <c r="C32" s="61" t="n">
        <f aca="false">IF(N23=0," ",N22*100/N23)</f>
        <v>100</v>
      </c>
      <c r="D32" s="62" t="n">
        <f aca="false">IF(ISBLANK($V$13)," ",$V$13)</f>
        <v>100</v>
      </c>
      <c r="E32" s="62"/>
      <c r="F32" s="63"/>
      <c r="G32" s="64"/>
      <c r="H32" s="64"/>
      <c r="I32" s="64"/>
      <c r="J32" s="64"/>
      <c r="K32" s="64"/>
      <c r="L32" s="64"/>
      <c r="M32" s="64"/>
      <c r="N32" s="58"/>
      <c r="O32" s="58"/>
      <c r="P32" s="58"/>
      <c r="Q32" s="58"/>
      <c r="R32" s="58"/>
      <c r="S32" s="65"/>
      <c r="T32" s="65"/>
      <c r="U32" s="65"/>
      <c r="V32" s="65"/>
      <c r="W32" s="65"/>
      <c r="AB32" s="66"/>
      <c r="AC32" s="66"/>
      <c r="AD32" s="66"/>
    </row>
    <row r="33" customFormat="false" ht="15" hidden="false" customHeight="true" outlineLevel="0" collapsed="false">
      <c r="B33" s="60" t="str">
        <f aca="false">P21</f>
        <v>May.</v>
      </c>
      <c r="C33" s="61" t="n">
        <f aca="false">IF(P23=0," ",P22*100/P23)</f>
        <v>100</v>
      </c>
      <c r="D33" s="62" t="n">
        <f aca="false">IF(ISBLANK($V$13)," ",$V$13)</f>
        <v>100</v>
      </c>
      <c r="E33" s="62"/>
      <c r="F33" s="63"/>
      <c r="G33" s="64"/>
      <c r="H33" s="64"/>
      <c r="I33" s="64"/>
      <c r="J33" s="64"/>
      <c r="K33" s="64"/>
      <c r="L33" s="64"/>
      <c r="M33" s="64"/>
      <c r="N33" s="58"/>
      <c r="O33" s="58"/>
      <c r="P33" s="58"/>
      <c r="Q33" s="58"/>
      <c r="R33" s="58"/>
      <c r="S33" s="65"/>
      <c r="T33" s="65"/>
      <c r="U33" s="65"/>
      <c r="V33" s="65"/>
      <c r="W33" s="65"/>
      <c r="AB33" s="66"/>
      <c r="AC33" s="66"/>
      <c r="AD33" s="66"/>
    </row>
    <row r="34" customFormat="false" ht="15" hidden="false" customHeight="true" outlineLevel="0" collapsed="false">
      <c r="B34" s="60" t="str">
        <f aca="false">R21</f>
        <v>Jun.</v>
      </c>
      <c r="C34" s="61" t="str">
        <f aca="false">IF(R23=0, " ",R22*100/R23)</f>
        <v> </v>
      </c>
      <c r="D34" s="62" t="n">
        <f aca="false">IF(ISBLANK($V$13)," ",$V$13)</f>
        <v>100</v>
      </c>
      <c r="E34" s="62"/>
      <c r="F34" s="63"/>
      <c r="G34" s="64"/>
      <c r="H34" s="64"/>
      <c r="I34" s="64"/>
      <c r="J34" s="64"/>
      <c r="K34" s="64"/>
      <c r="L34" s="64"/>
      <c r="M34" s="64"/>
      <c r="N34" s="58"/>
      <c r="O34" s="58"/>
      <c r="P34" s="58"/>
      <c r="Q34" s="58"/>
      <c r="R34" s="58"/>
      <c r="S34" s="65"/>
      <c r="T34" s="65"/>
      <c r="U34" s="65"/>
      <c r="V34" s="65"/>
      <c r="W34" s="65"/>
      <c r="AB34" s="66"/>
      <c r="AC34" s="66"/>
      <c r="AD34" s="66"/>
    </row>
    <row r="35" customFormat="false" ht="15" hidden="false" customHeight="true" outlineLevel="0" collapsed="false">
      <c r="B35" s="60" t="str">
        <f aca="false">T21</f>
        <v>Jul.</v>
      </c>
      <c r="C35" s="61" t="str">
        <f aca="false">IF(T23=0," ",T22*100/T23)</f>
        <v> </v>
      </c>
      <c r="D35" s="62" t="n">
        <f aca="false">IF(ISBLANK($V$13)," ",$V$13)</f>
        <v>100</v>
      </c>
      <c r="E35" s="62"/>
      <c r="F35" s="63"/>
      <c r="G35" s="64"/>
      <c r="H35" s="64"/>
      <c r="I35" s="64"/>
      <c r="J35" s="64"/>
      <c r="K35" s="64"/>
      <c r="L35" s="64"/>
      <c r="M35" s="64"/>
      <c r="N35" s="58"/>
      <c r="O35" s="58"/>
      <c r="P35" s="58"/>
      <c r="Q35" s="58"/>
      <c r="R35" s="58"/>
      <c r="S35" s="65"/>
      <c r="T35" s="65"/>
      <c r="U35" s="65"/>
      <c r="V35" s="65"/>
      <c r="W35" s="65"/>
      <c r="AB35" s="66"/>
      <c r="AC35" s="66"/>
      <c r="AD35" s="66"/>
    </row>
    <row r="36" customFormat="false" ht="12.75" hidden="false" customHeight="false" outlineLevel="0" collapsed="false">
      <c r="B36" s="60" t="str">
        <f aca="false">V21</f>
        <v>Ago.</v>
      </c>
      <c r="C36" s="61" t="str">
        <f aca="false">IF(V23=0, " ",V22*100/V23)</f>
        <v> </v>
      </c>
      <c r="D36" s="62" t="n">
        <f aca="false">IF(ISBLANK($V$13)," ",$V$13)</f>
        <v>100</v>
      </c>
      <c r="E36" s="62"/>
      <c r="F36" s="63"/>
      <c r="G36" s="64"/>
      <c r="H36" s="64"/>
      <c r="I36" s="64"/>
      <c r="J36" s="64"/>
      <c r="K36" s="64"/>
      <c r="L36" s="64"/>
      <c r="M36" s="64"/>
      <c r="N36" s="58"/>
      <c r="O36" s="58"/>
      <c r="P36" s="58"/>
      <c r="Q36" s="58"/>
      <c r="R36" s="58"/>
      <c r="S36" s="65"/>
      <c r="T36" s="65"/>
      <c r="U36" s="65"/>
      <c r="V36" s="65"/>
      <c r="W36" s="65"/>
      <c r="AB36" s="66"/>
      <c r="AC36" s="66"/>
      <c r="AD36" s="66"/>
    </row>
    <row r="37" customFormat="false" ht="12.75" hidden="false" customHeight="false" outlineLevel="0" collapsed="false">
      <c r="B37" s="60" t="str">
        <f aca="false">W21</f>
        <v>Sep.</v>
      </c>
      <c r="C37" s="61" t="str">
        <f aca="false">IF(W23=0," ",W22*100/W23)</f>
        <v> </v>
      </c>
      <c r="D37" s="62" t="n">
        <f aca="false">IF(ISBLANK($V$13)," ",$V$13)</f>
        <v>100</v>
      </c>
      <c r="E37" s="62"/>
      <c r="F37" s="63"/>
      <c r="G37" s="64"/>
      <c r="H37" s="64"/>
      <c r="I37" s="64"/>
      <c r="J37" s="64"/>
      <c r="K37" s="64"/>
      <c r="L37" s="64"/>
      <c r="M37" s="64"/>
      <c r="N37" s="58"/>
      <c r="O37" s="58"/>
      <c r="P37" s="58"/>
      <c r="Q37" s="58"/>
      <c r="R37" s="58"/>
      <c r="S37" s="65"/>
      <c r="T37" s="65"/>
      <c r="U37" s="65"/>
      <c r="V37" s="65"/>
      <c r="W37" s="65"/>
      <c r="AB37" s="66"/>
      <c r="AC37" s="66"/>
      <c r="AD37" s="66"/>
    </row>
    <row r="38" customFormat="false" ht="12.75" hidden="false" customHeight="true" outlineLevel="0" collapsed="false">
      <c r="B38" s="67" t="s">
        <v>44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 customFormat="false" ht="19.5" hidden="false" customHeight="true" outlineLevel="0" collapsed="false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customFormat="false" ht="19.5" hidden="false" customHeight="true" outlineLevel="0" collapsed="false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customFormat="false" ht="37.5" hidden="false" customHeight="true" outlineLevel="0" collapsed="false">
      <c r="B41" s="69" t="s">
        <v>42</v>
      </c>
      <c r="C41" s="69"/>
      <c r="D41" s="70" t="s">
        <v>45</v>
      </c>
      <c r="E41" s="70"/>
      <c r="F41" s="70"/>
      <c r="G41" s="70"/>
      <c r="H41" s="70"/>
      <c r="I41" s="70"/>
      <c r="J41" s="70"/>
      <c r="K41" s="70"/>
      <c r="L41" s="70"/>
      <c r="M41" s="71" t="s">
        <v>46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 customFormat="false" ht="30" hidden="false" customHeight="true" outlineLevel="0" collapsed="false">
      <c r="B42" s="72" t="str">
        <f aca="false">D21</f>
        <v>Oct.</v>
      </c>
      <c r="C42" s="72"/>
      <c r="D42" s="114"/>
      <c r="E42" s="114"/>
      <c r="F42" s="114"/>
      <c r="G42" s="114"/>
      <c r="H42" s="114"/>
      <c r="I42" s="114"/>
      <c r="J42" s="114"/>
      <c r="K42" s="114"/>
      <c r="L42" s="114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</row>
    <row r="43" customFormat="false" ht="30" hidden="false" customHeight="true" outlineLevel="0" collapsed="false">
      <c r="B43" s="72" t="str">
        <f aca="false">E21</f>
        <v>Nov.</v>
      </c>
      <c r="C43" s="72"/>
      <c r="D43" s="114"/>
      <c r="E43" s="114"/>
      <c r="F43" s="114"/>
      <c r="G43" s="114"/>
      <c r="H43" s="114"/>
      <c r="I43" s="114"/>
      <c r="J43" s="114"/>
      <c r="K43" s="114"/>
      <c r="L43" s="114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 customFormat="false" ht="30" hidden="false" customHeight="true" outlineLevel="0" collapsed="false">
      <c r="B44" s="72" t="str">
        <f aca="false">F21</f>
        <v>Dic.</v>
      </c>
      <c r="C44" s="72"/>
      <c r="D44" s="114"/>
      <c r="E44" s="114"/>
      <c r="F44" s="114"/>
      <c r="G44" s="114"/>
      <c r="H44" s="114"/>
      <c r="I44" s="114"/>
      <c r="J44" s="114"/>
      <c r="K44" s="114"/>
      <c r="L44" s="114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</row>
    <row r="45" s="75" customFormat="true" ht="30" hidden="false" customHeight="true" outlineLevel="0" collapsed="false">
      <c r="B45" s="72" t="str">
        <f aca="false">H21</f>
        <v>Ene.</v>
      </c>
      <c r="C45" s="72"/>
      <c r="D45" s="114"/>
      <c r="E45" s="114"/>
      <c r="F45" s="114"/>
      <c r="G45" s="114"/>
      <c r="H45" s="114"/>
      <c r="I45" s="114"/>
      <c r="J45" s="114"/>
      <c r="K45" s="114"/>
      <c r="L45" s="114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AA45" s="76"/>
    </row>
    <row r="46" s="75" customFormat="true" ht="30" hidden="false" customHeight="true" outlineLevel="0" collapsed="false">
      <c r="B46" s="72" t="str">
        <f aca="false">K21</f>
        <v>Feb.</v>
      </c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AA46" s="76"/>
    </row>
    <row r="47" s="75" customFormat="true" ht="73.5" hidden="false" customHeight="true" outlineLevel="0" collapsed="false">
      <c r="B47" s="72" t="str">
        <f aca="false">L21</f>
        <v>Mar.</v>
      </c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AA47" s="76"/>
    </row>
    <row r="48" s="75" customFormat="true" ht="64.5" hidden="false" customHeight="true" outlineLevel="0" collapsed="false">
      <c r="B48" s="72" t="str">
        <f aca="false">N21</f>
        <v>Abr.</v>
      </c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AA48" s="76"/>
    </row>
    <row r="49" s="75" customFormat="true" ht="71.25" hidden="false" customHeight="true" outlineLevel="0" collapsed="false">
      <c r="B49" s="72" t="str">
        <f aca="false">P21</f>
        <v>May.</v>
      </c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AA49" s="76"/>
    </row>
    <row r="50" s="75" customFormat="true" ht="30" hidden="false" customHeight="true" outlineLevel="0" collapsed="false">
      <c r="B50" s="72" t="str">
        <f aca="false">R21</f>
        <v>Jun.</v>
      </c>
      <c r="C50" s="72"/>
      <c r="D50" s="114"/>
      <c r="E50" s="114"/>
      <c r="F50" s="114"/>
      <c r="G50" s="114"/>
      <c r="H50" s="114"/>
      <c r="I50" s="114"/>
      <c r="J50" s="114"/>
      <c r="K50" s="114"/>
      <c r="L50" s="114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AA50" s="76"/>
    </row>
    <row r="51" s="75" customFormat="true" ht="30" hidden="false" customHeight="true" outlineLevel="0" collapsed="false">
      <c r="B51" s="72" t="str">
        <f aca="false">T21</f>
        <v>Jul.</v>
      </c>
      <c r="C51" s="72"/>
      <c r="D51" s="114"/>
      <c r="E51" s="114"/>
      <c r="F51" s="114"/>
      <c r="G51" s="114"/>
      <c r="H51" s="114"/>
      <c r="I51" s="114"/>
      <c r="J51" s="114"/>
      <c r="K51" s="114"/>
      <c r="L51" s="114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AA51" s="76"/>
    </row>
    <row r="52" customFormat="false" ht="30" hidden="false" customHeight="true" outlineLevel="0" collapsed="false">
      <c r="B52" s="72" t="str">
        <f aca="false">V21</f>
        <v>Ago.</v>
      </c>
      <c r="C52" s="72"/>
      <c r="D52" s="114"/>
      <c r="E52" s="114"/>
      <c r="F52" s="114"/>
      <c r="G52" s="114"/>
      <c r="H52" s="114"/>
      <c r="I52" s="114"/>
      <c r="J52" s="114"/>
      <c r="K52" s="114"/>
      <c r="L52" s="114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</row>
    <row r="53" customFormat="false" ht="30" hidden="false" customHeight="true" outlineLevel="0" collapsed="false">
      <c r="B53" s="77" t="str">
        <f aca="false">W21</f>
        <v>Sep.</v>
      </c>
      <c r="C53" s="77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</row>
    <row r="54" customFormat="false" ht="12.75" hidden="false" customHeight="true" outlineLevel="0" collapsed="false">
      <c r="B54" s="78" t="s">
        <v>55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customFormat="false" ht="12.75" hidden="false" customHeight="false" outlineLevel="0" collapsed="false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</row>
    <row r="56" customFormat="false" ht="12.75" hidden="false" customHeight="false" outlineLevel="0" collapsed="false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customFormat="false" ht="12.75" hidden="false" customHeight="false" outlineLevel="0" collapsed="false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customFormat="false" ht="12.75" hidden="false" customHeight="false" outlineLevel="0" collapsed="false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customFormat="false" ht="13.5" hidden="false" customHeight="true" outlineLevel="0" collapsed="false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</row>
    <row r="60" customFormat="false" ht="15" hidden="false" customHeight="true" outlineLevel="0" collapsed="false">
      <c r="B60" s="80"/>
      <c r="C60" s="81"/>
      <c r="D60" s="81"/>
      <c r="E60" s="81"/>
      <c r="F60" s="81"/>
      <c r="G60" s="82"/>
      <c r="H60" s="81"/>
      <c r="I60" s="83"/>
      <c r="J60" s="84"/>
      <c r="K60" s="8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6" t="s">
        <v>56</v>
      </c>
    </row>
    <row r="61" customFormat="false" ht="12.75" hidden="false" customHeight="false" outlineLevel="0" collapsed="false">
      <c r="B61" s="87"/>
    </row>
    <row r="68" customFormat="false" ht="3" hidden="false" customHeight="true" outlineLevel="0" collapsed="false"/>
    <row r="70" customFormat="false" ht="20.25" hidden="false" customHeight="true" outlineLevel="0" collapsed="false"/>
    <row r="71" customFormat="false" ht="15" hidden="true" customHeight="true" outlineLevel="0" collapsed="false"/>
    <row r="72" s="1" customFormat="true" ht="20.25" hidden="true" customHeight="true" outlineLevel="0" collapsed="false"/>
    <row r="73" customFormat="false" ht="12.75" hidden="true" customHeight="false" outlineLevel="0" collapsed="false"/>
    <row r="74" customFormat="false" ht="12.75" hidden="true" customHeight="false" outlineLevel="0" collapsed="false"/>
    <row r="75" customFormat="false" ht="13.5" hidden="true" customHeight="true" outlineLevel="0" collapsed="false"/>
    <row r="76" customFormat="false" ht="12.75" hidden="true" customHeight="false" outlineLevel="0" collapsed="false"/>
    <row r="77" customFormat="false" ht="12.75" hidden="true" customHeight="false" outlineLevel="0" collapsed="false"/>
    <row r="78" customFormat="false" ht="21" hidden="true" customHeight="true" outlineLevel="0" collapsed="false">
      <c r="B78" s="88"/>
      <c r="C78" s="89"/>
      <c r="D78" s="90" t="s">
        <v>57</v>
      </c>
      <c r="E78" s="90"/>
      <c r="M78" s="89" t="s">
        <v>58</v>
      </c>
      <c r="T78" s="89" t="s">
        <v>59</v>
      </c>
      <c r="Y78" s="89" t="s">
        <v>60</v>
      </c>
      <c r="AC78" s="89" t="s">
        <v>61</v>
      </c>
      <c r="AE78" s="91"/>
      <c r="AF78" s="91"/>
      <c r="AG78" s="92" t="s">
        <v>62</v>
      </c>
      <c r="AH78" s="92"/>
    </row>
    <row r="79" customFormat="false" ht="20.25" hidden="true" customHeight="true" outlineLevel="0" collapsed="false">
      <c r="B79" s="91"/>
      <c r="C79" s="91"/>
      <c r="D79" s="93" t="s">
        <v>63</v>
      </c>
      <c r="E79" s="93" t="s">
        <v>64</v>
      </c>
      <c r="M79" s="1" t="s">
        <v>65</v>
      </c>
      <c r="T79" s="1" t="s">
        <v>66</v>
      </c>
      <c r="Y79" s="1" t="s">
        <v>67</v>
      </c>
      <c r="AC79" s="94" t="s">
        <v>68</v>
      </c>
      <c r="AE79" s="95" t="s">
        <v>69</v>
      </c>
      <c r="AF79" s="96" t="s">
        <v>17</v>
      </c>
      <c r="AG79" s="97" t="s">
        <v>70</v>
      </c>
      <c r="AH79" s="97" t="s">
        <v>71</v>
      </c>
      <c r="AI79" s="98" t="s">
        <v>72</v>
      </c>
      <c r="AJ79" s="98" t="s">
        <v>73</v>
      </c>
      <c r="AK79" s="98" t="s">
        <v>74</v>
      </c>
      <c r="AL79" s="98" t="s">
        <v>75</v>
      </c>
      <c r="AM79" s="97" t="s">
        <v>76</v>
      </c>
      <c r="AN79" s="97" t="s">
        <v>77</v>
      </c>
      <c r="AO79" s="98" t="s">
        <v>78</v>
      </c>
      <c r="AP79" s="98" t="s">
        <v>79</v>
      </c>
      <c r="AQ79" s="98" t="s">
        <v>80</v>
      </c>
      <c r="AR79" s="98" t="s">
        <v>81</v>
      </c>
    </row>
    <row r="80" customFormat="false" ht="31.5" hidden="true" customHeight="true" outlineLevel="0" collapsed="false">
      <c r="B80" s="99" t="s">
        <v>3</v>
      </c>
      <c r="C80" s="100" t="s">
        <v>82</v>
      </c>
      <c r="D80" s="100" t="s">
        <v>83</v>
      </c>
      <c r="E80" s="100" t="s">
        <v>84</v>
      </c>
      <c r="M80" s="1" t="s">
        <v>85</v>
      </c>
      <c r="T80" s="1" t="s">
        <v>86</v>
      </c>
      <c r="Y80" s="1" t="s">
        <v>87</v>
      </c>
      <c r="AC80" s="94" t="s">
        <v>88</v>
      </c>
      <c r="AE80" s="95"/>
      <c r="AF80" s="96" t="s">
        <v>89</v>
      </c>
      <c r="AG80" s="97" t="s">
        <v>71</v>
      </c>
      <c r="AH80" s="97" t="s">
        <v>73</v>
      </c>
      <c r="AI80" s="98" t="s">
        <v>75</v>
      </c>
      <c r="AJ80" s="98" t="s">
        <v>77</v>
      </c>
      <c r="AK80" s="98" t="s">
        <v>79</v>
      </c>
      <c r="AL80" s="98" t="s">
        <v>81</v>
      </c>
      <c r="AM80" s="98" t="s">
        <v>90</v>
      </c>
      <c r="AN80" s="98" t="s">
        <v>90</v>
      </c>
      <c r="AO80" s="98" t="s">
        <v>90</v>
      </c>
      <c r="AP80" s="98" t="s">
        <v>90</v>
      </c>
      <c r="AQ80" s="98" t="s">
        <v>90</v>
      </c>
      <c r="AR80" s="98" t="s">
        <v>90</v>
      </c>
    </row>
    <row r="81" customFormat="false" ht="21.75" hidden="true" customHeight="true" outlineLevel="0" collapsed="false">
      <c r="B81" s="99"/>
      <c r="C81" s="100" t="s">
        <v>5</v>
      </c>
      <c r="D81" s="100" t="s">
        <v>91</v>
      </c>
      <c r="E81" s="100" t="s">
        <v>92</v>
      </c>
      <c r="M81" s="1" t="s">
        <v>93</v>
      </c>
      <c r="T81" s="1" t="s">
        <v>94</v>
      </c>
      <c r="Y81" s="1" t="s">
        <v>95</v>
      </c>
      <c r="AC81" s="94" t="s">
        <v>96</v>
      </c>
      <c r="AE81" s="95"/>
      <c r="AF81" s="96" t="s">
        <v>97</v>
      </c>
      <c r="AG81" s="97" t="s">
        <v>72</v>
      </c>
      <c r="AH81" s="97" t="s">
        <v>75</v>
      </c>
      <c r="AI81" s="98" t="s">
        <v>78</v>
      </c>
      <c r="AJ81" s="98" t="s">
        <v>81</v>
      </c>
      <c r="AK81" s="98" t="s">
        <v>90</v>
      </c>
      <c r="AL81" s="98" t="s">
        <v>90</v>
      </c>
      <c r="AM81" s="98" t="s">
        <v>90</v>
      </c>
      <c r="AN81" s="98" t="s">
        <v>90</v>
      </c>
      <c r="AO81" s="98" t="s">
        <v>90</v>
      </c>
      <c r="AP81" s="98" t="s">
        <v>90</v>
      </c>
      <c r="AQ81" s="98" t="s">
        <v>90</v>
      </c>
      <c r="AR81" s="98" t="s">
        <v>90</v>
      </c>
    </row>
    <row r="82" customFormat="false" ht="22.5" hidden="true" customHeight="true" outlineLevel="0" collapsed="false">
      <c r="B82" s="99"/>
      <c r="C82" s="100" t="s">
        <v>98</v>
      </c>
      <c r="D82" s="100" t="s">
        <v>91</v>
      </c>
      <c r="E82" s="100" t="s">
        <v>99</v>
      </c>
      <c r="M82" s="1" t="s">
        <v>28</v>
      </c>
      <c r="T82" s="1" t="s">
        <v>100</v>
      </c>
      <c r="Y82" s="1" t="s">
        <v>101</v>
      </c>
      <c r="AC82" s="94" t="s">
        <v>102</v>
      </c>
      <c r="AE82" s="95"/>
      <c r="AF82" s="96" t="s">
        <v>103</v>
      </c>
      <c r="AG82" s="98" t="s">
        <v>73</v>
      </c>
      <c r="AH82" s="98" t="s">
        <v>77</v>
      </c>
      <c r="AI82" s="98" t="s">
        <v>81</v>
      </c>
      <c r="AJ82" s="98" t="s">
        <v>90</v>
      </c>
      <c r="AK82" s="98" t="s">
        <v>90</v>
      </c>
      <c r="AL82" s="98" t="s">
        <v>90</v>
      </c>
      <c r="AM82" s="98" t="s">
        <v>90</v>
      </c>
      <c r="AN82" s="98" t="s">
        <v>90</v>
      </c>
      <c r="AO82" s="98" t="s">
        <v>90</v>
      </c>
      <c r="AP82" s="98" t="s">
        <v>90</v>
      </c>
      <c r="AQ82" s="98" t="s">
        <v>90</v>
      </c>
      <c r="AR82" s="98" t="s">
        <v>90</v>
      </c>
    </row>
    <row r="83" customFormat="false" ht="15" hidden="true" customHeight="true" outlineLevel="0" collapsed="false">
      <c r="B83" s="101"/>
      <c r="T83" s="1" t="s">
        <v>104</v>
      </c>
      <c r="Y83" s="1" t="s">
        <v>105</v>
      </c>
      <c r="AC83" s="94" t="s">
        <v>106</v>
      </c>
      <c r="AE83" s="95"/>
      <c r="AF83" s="96" t="s">
        <v>107</v>
      </c>
      <c r="AG83" s="98" t="s">
        <v>75</v>
      </c>
      <c r="AH83" s="98" t="s">
        <v>81</v>
      </c>
      <c r="AI83" s="98" t="s">
        <v>90</v>
      </c>
      <c r="AJ83" s="98" t="s">
        <v>90</v>
      </c>
      <c r="AK83" s="98" t="s">
        <v>90</v>
      </c>
      <c r="AL83" s="98" t="s">
        <v>90</v>
      </c>
      <c r="AM83" s="98" t="s">
        <v>90</v>
      </c>
      <c r="AN83" s="98" t="s">
        <v>90</v>
      </c>
      <c r="AO83" s="98" t="s">
        <v>90</v>
      </c>
      <c r="AP83" s="98" t="s">
        <v>90</v>
      </c>
      <c r="AQ83" s="98" t="s">
        <v>90</v>
      </c>
      <c r="AR83" s="98" t="s">
        <v>90</v>
      </c>
    </row>
    <row r="84" customFormat="false" ht="15" hidden="true" customHeight="true" outlineLevel="0" collapsed="false">
      <c r="B84" s="102" t="s">
        <v>108</v>
      </c>
      <c r="C84" s="103" t="s">
        <v>109</v>
      </c>
      <c r="D84" s="104"/>
      <c r="E84" s="104"/>
      <c r="F84" s="104"/>
      <c r="G84" s="104"/>
      <c r="H84" s="104"/>
      <c r="I84" s="104"/>
      <c r="J84" s="104"/>
      <c r="K84" s="104"/>
      <c r="L84" s="104"/>
      <c r="M84" s="105"/>
      <c r="N84" s="104"/>
      <c r="O84" s="104"/>
      <c r="P84" s="104"/>
      <c r="T84" s="1" t="s">
        <v>110</v>
      </c>
      <c r="Y84" s="1" t="s">
        <v>111</v>
      </c>
      <c r="AC84" s="94" t="s">
        <v>112</v>
      </c>
      <c r="AF84" s="96" t="s">
        <v>113</v>
      </c>
      <c r="AG84" s="97" t="s">
        <v>70</v>
      </c>
      <c r="AH84" s="97" t="s">
        <v>71</v>
      </c>
      <c r="AI84" s="98" t="s">
        <v>72</v>
      </c>
      <c r="AJ84" s="98" t="s">
        <v>73</v>
      </c>
      <c r="AK84" s="98" t="s">
        <v>74</v>
      </c>
      <c r="AL84" s="98" t="s">
        <v>75</v>
      </c>
      <c r="AM84" s="97" t="s">
        <v>76</v>
      </c>
      <c r="AN84" s="97" t="s">
        <v>77</v>
      </c>
      <c r="AO84" s="98" t="s">
        <v>78</v>
      </c>
      <c r="AP84" s="98" t="s">
        <v>79</v>
      </c>
      <c r="AQ84" s="98" t="s">
        <v>80</v>
      </c>
      <c r="AR84" s="98" t="s">
        <v>81</v>
      </c>
    </row>
    <row r="85" customFormat="false" ht="12.75" hidden="true" customHeight="false" outlineLevel="0" collapsed="false">
      <c r="B85" s="106" t="n">
        <v>1</v>
      </c>
      <c r="C85" s="1" t="s">
        <v>114</v>
      </c>
      <c r="T85" s="1" t="s">
        <v>115</v>
      </c>
      <c r="Y85" s="1" t="s">
        <v>116</v>
      </c>
      <c r="AC85" s="94" t="s">
        <v>117</v>
      </c>
    </row>
    <row r="86" customFormat="false" ht="12.75" hidden="true" customHeight="false" outlineLevel="0" collapsed="false">
      <c r="B86" s="106" t="n">
        <v>2</v>
      </c>
      <c r="C86" s="1" t="s">
        <v>118</v>
      </c>
      <c r="T86" s="1" t="s">
        <v>119</v>
      </c>
      <c r="Y86" s="1" t="s">
        <v>120</v>
      </c>
      <c r="AC86" s="94" t="s">
        <v>121</v>
      </c>
    </row>
    <row r="87" customFormat="false" ht="12.75" hidden="true" customHeight="false" outlineLevel="0" collapsed="false">
      <c r="B87" s="106" t="n">
        <v>3</v>
      </c>
      <c r="C87" s="1" t="s">
        <v>122</v>
      </c>
      <c r="T87" s="1" t="s">
        <v>123</v>
      </c>
      <c r="Y87" s="1" t="s">
        <v>124</v>
      </c>
      <c r="AC87" s="94" t="s">
        <v>125</v>
      </c>
    </row>
    <row r="88" customFormat="false" ht="12.75" hidden="true" customHeight="false" outlineLevel="0" collapsed="false">
      <c r="B88" s="106" t="n">
        <v>4</v>
      </c>
      <c r="C88" s="1" t="s">
        <v>126</v>
      </c>
      <c r="T88" s="1" t="s">
        <v>127</v>
      </c>
      <c r="Y88" s="1" t="s">
        <v>128</v>
      </c>
      <c r="AC88" s="94" t="s">
        <v>129</v>
      </c>
    </row>
    <row r="89" customFormat="false" ht="12.75" hidden="true" customHeight="false" outlineLevel="0" collapsed="false">
      <c r="B89" s="106" t="n">
        <v>5</v>
      </c>
      <c r="C89" s="1" t="s">
        <v>130</v>
      </c>
      <c r="T89" s="1" t="s">
        <v>131</v>
      </c>
      <c r="Y89" s="1" t="s">
        <v>132</v>
      </c>
      <c r="AC89" s="94" t="s">
        <v>133</v>
      </c>
    </row>
    <row r="90" customFormat="false" ht="12.75" hidden="true" customHeight="false" outlineLevel="0" collapsed="false">
      <c r="B90" s="106" t="n">
        <v>6</v>
      </c>
      <c r="C90" s="1" t="s">
        <v>134</v>
      </c>
      <c r="T90" s="1" t="s">
        <v>135</v>
      </c>
      <c r="Y90" s="1" t="s">
        <v>136</v>
      </c>
      <c r="AC90" s="94" t="s">
        <v>137</v>
      </c>
    </row>
    <row r="91" customFormat="false" ht="12.75" hidden="true" customHeight="false" outlineLevel="0" collapsed="false">
      <c r="B91" s="106" t="n">
        <v>7</v>
      </c>
      <c r="C91" s="1" t="s">
        <v>138</v>
      </c>
      <c r="F91" s="107"/>
      <c r="T91" s="1" t="s">
        <v>30</v>
      </c>
      <c r="Y91" s="1" t="s">
        <v>139</v>
      </c>
      <c r="AC91" s="94" t="s">
        <v>140</v>
      </c>
    </row>
    <row r="92" customFormat="false" ht="12.75" hidden="true" customHeight="false" outlineLevel="0" collapsed="false">
      <c r="B92" s="108" t="n">
        <v>8</v>
      </c>
      <c r="C92" s="109" t="s">
        <v>141</v>
      </c>
      <c r="D92" s="109"/>
      <c r="E92" s="109"/>
      <c r="F92" s="110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Y92" s="1" t="s">
        <v>142</v>
      </c>
      <c r="AC92" s="94" t="s">
        <v>143</v>
      </c>
    </row>
    <row r="93" customFormat="false" ht="12.75" hidden="true" customHeight="false" outlineLevel="0" collapsed="false">
      <c r="G93" s="107"/>
      <c r="Y93" s="1" t="s">
        <v>144</v>
      </c>
      <c r="AC93" s="94" t="s">
        <v>34</v>
      </c>
    </row>
    <row r="94" customFormat="false" ht="12.75" hidden="true" customHeight="false" outlineLevel="0" collapsed="false">
      <c r="G94" s="107"/>
      <c r="Y94" s="1" t="s">
        <v>145</v>
      </c>
      <c r="AC94" s="94" t="s">
        <v>146</v>
      </c>
    </row>
    <row r="95" customFormat="false" ht="12.75" hidden="true" customHeight="false" outlineLevel="0" collapsed="false">
      <c r="G95" s="107"/>
      <c r="Y95" s="1" t="s">
        <v>147</v>
      </c>
      <c r="AC95" s="94" t="s">
        <v>148</v>
      </c>
    </row>
    <row r="96" customFormat="false" ht="12.75" hidden="true" customHeight="false" outlineLevel="0" collapsed="false">
      <c r="G96" s="107"/>
      <c r="Y96" s="1" t="s">
        <v>149</v>
      </c>
      <c r="AC96" s="94" t="s">
        <v>150</v>
      </c>
    </row>
    <row r="97" customFormat="false" ht="12.75" hidden="true" customHeight="false" outlineLevel="0" collapsed="false">
      <c r="G97" s="107"/>
      <c r="Y97" s="1" t="s">
        <v>32</v>
      </c>
      <c r="AC97" s="94" t="s">
        <v>151</v>
      </c>
    </row>
    <row r="98" customFormat="false" ht="12.75" hidden="true" customHeight="false" outlineLevel="0" collapsed="false">
      <c r="G98" s="107"/>
      <c r="AC98" s="94" t="s">
        <v>152</v>
      </c>
    </row>
    <row r="99" customFormat="false" ht="12.75" hidden="true" customHeight="false" outlineLevel="0" collapsed="false">
      <c r="G99" s="2"/>
      <c r="AC99" s="94" t="s">
        <v>153</v>
      </c>
    </row>
    <row r="100" customFormat="false" ht="12.75" hidden="true" customHeight="false" outlineLevel="0" collapsed="false">
      <c r="G100" s="2"/>
      <c r="AC100" s="94" t="s">
        <v>154</v>
      </c>
    </row>
    <row r="101" customFormat="false" ht="12.75" hidden="true" customHeight="false" outlineLevel="0" collapsed="false">
      <c r="G101" s="2"/>
      <c r="AC101" s="94" t="s">
        <v>155</v>
      </c>
    </row>
    <row r="102" customFormat="false" ht="12.75" hidden="true" customHeight="false" outlineLevel="0" collapsed="false">
      <c r="G102" s="2"/>
      <c r="AC102" s="94" t="s">
        <v>156</v>
      </c>
    </row>
    <row r="103" customFormat="false" ht="12.75" hidden="true" customHeight="false" outlineLevel="0" collapsed="false">
      <c r="G103" s="2"/>
      <c r="AC103" s="94" t="s">
        <v>157</v>
      </c>
    </row>
    <row r="104" customFormat="false" ht="12.75" hidden="true" customHeight="false" outlineLevel="0" collapsed="false">
      <c r="G104" s="2"/>
      <c r="AC104" s="94"/>
    </row>
    <row r="105" customFormat="false" ht="12.75" hidden="true" customHeight="false" outlineLevel="0" collapsed="false"/>
    <row r="106" customFormat="false" ht="12.75" hidden="true" customHeight="false" outlineLevel="0" collapsed="false"/>
    <row r="107" customFormat="false" ht="12.75" hidden="true" customHeight="false" outlineLevel="0" collapsed="false"/>
    <row r="108" customFormat="false" ht="12.75" hidden="true" customHeight="false" outlineLevel="0" collapsed="false"/>
    <row r="109" customFormat="false" ht="12.75" hidden="true" customHeight="false" outlineLevel="0" collapsed="false"/>
    <row r="110" customFormat="false" ht="12.75" hidden="true" customHeight="false" outlineLevel="0" collapsed="false"/>
    <row r="111" customFormat="false" ht="12.75" hidden="true" customHeight="false" outlineLevel="0" collapsed="false"/>
    <row r="112" customFormat="false" ht="12.75" hidden="true" customHeight="false" outlineLevel="0" collapsed="false"/>
    <row r="113" customFormat="false" ht="12.75" hidden="true" customHeight="false" outlineLevel="0" collapsed="false"/>
    <row r="114" customFormat="false" ht="12.75" hidden="true" customHeight="false" outlineLevel="0" collapsed="false"/>
    <row r="115" customFormat="false" ht="12.75" hidden="true" customHeight="false" outlineLevel="0" collapsed="false"/>
    <row r="116" customFormat="false" ht="12.75" hidden="true" customHeight="false" outlineLevel="0" collapsed="false"/>
    <row r="117" customFormat="false" ht="12.75" hidden="true" customHeight="false" outlineLevel="0" collapsed="false"/>
    <row r="118" customFormat="false" ht="12.75" hidden="true" customHeight="false" outlineLevel="0" collapsed="false"/>
    <row r="119" customFormat="false" ht="12.75" hidden="true" customHeight="false" outlineLevel="0" collapsed="false"/>
    <row r="120" customFormat="false" ht="12.75" hidden="true" customHeight="false" outlineLevel="0" collapsed="false"/>
    <row r="251" customFormat="false" ht="12.75" hidden="false" customHeight="false" outlineLevel="0" collapsed="false">
      <c r="A251" s="106" t="s">
        <v>158</v>
      </c>
    </row>
    <row r="253" customFormat="false" ht="12.75" hidden="false" customHeight="false" outlineLevel="0" collapsed="false">
      <c r="F253" s="2" t="s">
        <v>159</v>
      </c>
      <c r="P253" s="33" t="s">
        <v>160</v>
      </c>
      <c r="Q253" s="33" t="s">
        <v>161</v>
      </c>
    </row>
    <row r="254" customFormat="false" ht="15.75" hidden="false" customHeight="true" outlineLevel="0" collapsed="false">
      <c r="F254" s="2" t="s">
        <v>162</v>
      </c>
      <c r="O254" s="111"/>
      <c r="P254" s="33"/>
      <c r="Q254" s="33" t="n">
        <v>5</v>
      </c>
    </row>
    <row r="255" customFormat="false" ht="15.75" hidden="false" customHeight="true" outlineLevel="0" collapsed="false">
      <c r="F255" s="2" t="s">
        <v>163</v>
      </c>
      <c r="O255" s="112"/>
      <c r="P255" s="33" t="n">
        <v>5</v>
      </c>
      <c r="Q255" s="33" t="n">
        <v>10</v>
      </c>
    </row>
    <row r="256" customFormat="false" ht="15.75" hidden="false" customHeight="true" outlineLevel="0" collapsed="false">
      <c r="F256" s="2" t="s">
        <v>164</v>
      </c>
      <c r="O256" s="113"/>
      <c r="P256" s="33" t="n">
        <v>10</v>
      </c>
      <c r="Q256" s="33" t="n">
        <v>40</v>
      </c>
    </row>
    <row r="257" customFormat="false" ht="15.75" hidden="false" customHeight="true" outlineLevel="0" collapsed="false">
      <c r="F257" s="2" t="s">
        <v>165</v>
      </c>
      <c r="O257" s="112"/>
      <c r="P257" s="33" t="n">
        <v>40</v>
      </c>
      <c r="Q257" s="33" t="n">
        <v>50</v>
      </c>
    </row>
    <row r="258" customFormat="false" ht="15.75" hidden="false" customHeight="true" outlineLevel="0" collapsed="false">
      <c r="F258" s="2" t="s">
        <v>166</v>
      </c>
      <c r="O258" s="111"/>
      <c r="P258" s="33" t="n">
        <v>50</v>
      </c>
      <c r="Q258" s="33"/>
    </row>
    <row r="259" customFormat="false" ht="12.75" hidden="false" customHeight="false" outlineLevel="0" collapsed="false">
      <c r="F259" s="2" t="s">
        <v>167</v>
      </c>
    </row>
    <row r="260" customFormat="false" ht="12.75" hidden="false" customHeight="false" outlineLevel="0" collapsed="false">
      <c r="F260" s="2" t="s">
        <v>168</v>
      </c>
    </row>
    <row r="261" customFormat="false" ht="12.75" hidden="false" customHeight="false" outlineLevel="0" collapsed="false">
      <c r="F261" s="2" t="s">
        <v>169</v>
      </c>
    </row>
    <row r="262" customFormat="false" ht="12.75" hidden="false" customHeight="false" outlineLevel="0" collapsed="false">
      <c r="F262" s="2" t="s">
        <v>170</v>
      </c>
    </row>
    <row r="263" customFormat="false" ht="12.75" hidden="false" customHeight="false" outlineLevel="0" collapsed="false">
      <c r="F263" s="2" t="s">
        <v>171</v>
      </c>
    </row>
    <row r="264" customFormat="false" ht="12.75" hidden="false" customHeight="false" outlineLevel="0" collapsed="false">
      <c r="F264" s="2" t="s">
        <v>172</v>
      </c>
    </row>
    <row r="265" customFormat="false" ht="12.75" hidden="false" customHeight="false" outlineLevel="0" collapsed="false">
      <c r="F265" s="2" t="s">
        <v>173</v>
      </c>
    </row>
    <row r="266" customFormat="false" ht="12.75" hidden="false" customHeight="false" outlineLevel="0" collapsed="false">
      <c r="F266" s="2" t="s">
        <v>174</v>
      </c>
    </row>
    <row r="267" customFormat="false" ht="12.75" hidden="false" customHeight="false" outlineLevel="0" collapsed="false">
      <c r="F267" s="2" t="s">
        <v>175</v>
      </c>
    </row>
    <row r="268" customFormat="false" ht="12.75" hidden="false" customHeight="false" outlineLevel="0" collapsed="false">
      <c r="F268" s="2" t="s">
        <v>176</v>
      </c>
    </row>
    <row r="269" customFormat="false" ht="12.75" hidden="false" customHeight="false" outlineLevel="0" collapsed="false">
      <c r="F269" s="2" t="s">
        <v>177</v>
      </c>
    </row>
    <row r="270" customFormat="false" ht="12.75" hidden="false" customHeight="false" outlineLevel="0" collapsed="false">
      <c r="F270" s="2" t="s">
        <v>178</v>
      </c>
    </row>
    <row r="271" customFormat="false" ht="12.75" hidden="false" customHeight="false" outlineLevel="0" collapsed="false">
      <c r="F271" s="2" t="s">
        <v>179</v>
      </c>
    </row>
    <row r="272" customFormat="false" ht="12.75" hidden="false" customHeight="false" outlineLevel="0" collapsed="false">
      <c r="F272" s="2" t="s">
        <v>180</v>
      </c>
    </row>
    <row r="273" customFormat="false" ht="12.75" hidden="false" customHeight="false" outlineLevel="0" collapsed="false">
      <c r="F273" s="2" t="s">
        <v>127</v>
      </c>
    </row>
    <row r="274" customFormat="false" ht="12.75" hidden="false" customHeight="false" outlineLevel="0" collapsed="false">
      <c r="F274" s="2" t="s">
        <v>181</v>
      </c>
    </row>
    <row r="275" customFormat="false" ht="12.75" hidden="false" customHeight="false" outlineLevel="0" collapsed="false">
      <c r="F275" s="2" t="s">
        <v>182</v>
      </c>
    </row>
    <row r="276" customFormat="false" ht="12.75" hidden="false" customHeight="false" outlineLevel="0" collapsed="false">
      <c r="F276" s="2" t="s">
        <v>183</v>
      </c>
    </row>
    <row r="277" customFormat="false" ht="12.75" hidden="false" customHeight="false" outlineLevel="0" collapsed="false">
      <c r="F277" s="2" t="s">
        <v>184</v>
      </c>
    </row>
    <row r="278" customFormat="false" ht="12.75" hidden="false" customHeight="false" outlineLevel="0" collapsed="false">
      <c r="F278" s="2" t="s">
        <v>185</v>
      </c>
    </row>
    <row r="279" customFormat="false" ht="12.75" hidden="false" customHeight="false" outlineLevel="0" collapsed="false">
      <c r="F279" s="2" t="s">
        <v>186</v>
      </c>
    </row>
    <row r="280" customFormat="false" ht="12.75" hidden="false" customHeight="false" outlineLevel="0" collapsed="false">
      <c r="F280" s="2" t="s">
        <v>6</v>
      </c>
    </row>
    <row r="281" customFormat="false" ht="12.75" hidden="false" customHeight="false" outlineLevel="0" collapsed="false">
      <c r="F281" s="2" t="s">
        <v>187</v>
      </c>
    </row>
    <row r="282" customFormat="false" ht="12.75" hidden="false" customHeight="false" outlineLevel="0" collapsed="false">
      <c r="F282" s="1" t="s">
        <v>188</v>
      </c>
    </row>
  </sheetData>
  <sheetProtection sheet="true" password="c43f" objects="true" scenarios="true" formatRows="false" autoFilter="false"/>
  <mergeCells count="154">
    <mergeCell ref="T2:W2"/>
    <mergeCell ref="B3:B5"/>
    <mergeCell ref="C3:E3"/>
    <mergeCell ref="F3:Q5"/>
    <mergeCell ref="R3:W3"/>
    <mergeCell ref="C4:E5"/>
    <mergeCell ref="R4:W5"/>
    <mergeCell ref="B6:W6"/>
    <mergeCell ref="B7:W7"/>
    <mergeCell ref="B8:W8"/>
    <mergeCell ref="B9:W9"/>
    <mergeCell ref="B10:W10"/>
    <mergeCell ref="B11:C11"/>
    <mergeCell ref="D11:R11"/>
    <mergeCell ref="S11:W11"/>
    <mergeCell ref="B12:C12"/>
    <mergeCell ref="D12:F12"/>
    <mergeCell ref="G12:J12"/>
    <mergeCell ref="K12:M12"/>
    <mergeCell ref="N12:O12"/>
    <mergeCell ref="P12:R12"/>
    <mergeCell ref="S12:U12"/>
    <mergeCell ref="B13:C15"/>
    <mergeCell ref="D13:R15"/>
    <mergeCell ref="S13:U13"/>
    <mergeCell ref="B16:C16"/>
    <mergeCell ref="D16:R16"/>
    <mergeCell ref="S16:U16"/>
    <mergeCell ref="V16:W16"/>
    <mergeCell ref="B17:W17"/>
    <mergeCell ref="B18:C18"/>
    <mergeCell ref="D18:H18"/>
    <mergeCell ref="I18:L18"/>
    <mergeCell ref="M18:P18"/>
    <mergeCell ref="Q18:S18"/>
    <mergeCell ref="T18:W18"/>
    <mergeCell ref="B19:C19"/>
    <mergeCell ref="D19:H19"/>
    <mergeCell ref="I19:L19"/>
    <mergeCell ref="M19:P19"/>
    <mergeCell ref="Q19:S19"/>
    <mergeCell ref="T19:W19"/>
    <mergeCell ref="B20:W20"/>
    <mergeCell ref="B21:C21"/>
    <mergeCell ref="F21:G21"/>
    <mergeCell ref="H21:J21"/>
    <mergeCell ref="L21:M21"/>
    <mergeCell ref="N21:O21"/>
    <mergeCell ref="P21:Q21"/>
    <mergeCell ref="R21:S21"/>
    <mergeCell ref="T21:U21"/>
    <mergeCell ref="B22:C22"/>
    <mergeCell ref="F22:G22"/>
    <mergeCell ref="H22:J22"/>
    <mergeCell ref="L22:M22"/>
    <mergeCell ref="N22:O22"/>
    <mergeCell ref="P22:Q22"/>
    <mergeCell ref="R22:S22"/>
    <mergeCell ref="T22:U22"/>
    <mergeCell ref="B23:C23"/>
    <mergeCell ref="F23:G23"/>
    <mergeCell ref="H23:J23"/>
    <mergeCell ref="L23:M23"/>
    <mergeCell ref="N23:O23"/>
    <mergeCell ref="P23:Q23"/>
    <mergeCell ref="R23:S23"/>
    <mergeCell ref="T23:U23"/>
    <mergeCell ref="B24:W24"/>
    <mergeCell ref="G25:M25"/>
    <mergeCell ref="N25:O26"/>
    <mergeCell ref="P25:R26"/>
    <mergeCell ref="S25:W25"/>
    <mergeCell ref="G26:M26"/>
    <mergeCell ref="S26:W37"/>
    <mergeCell ref="G27:M27"/>
    <mergeCell ref="N27:O27"/>
    <mergeCell ref="P27:R27"/>
    <mergeCell ref="G28:M28"/>
    <mergeCell ref="N28:O28"/>
    <mergeCell ref="P28:R28"/>
    <mergeCell ref="G29:M29"/>
    <mergeCell ref="N29:O29"/>
    <mergeCell ref="P29:R29"/>
    <mergeCell ref="G30:M30"/>
    <mergeCell ref="N30:O30"/>
    <mergeCell ref="P30:R30"/>
    <mergeCell ref="G31:M31"/>
    <mergeCell ref="N31:O31"/>
    <mergeCell ref="P31:R31"/>
    <mergeCell ref="G32:M32"/>
    <mergeCell ref="N32:O32"/>
    <mergeCell ref="P32:R32"/>
    <mergeCell ref="G33:M33"/>
    <mergeCell ref="N33:O33"/>
    <mergeCell ref="P33:R33"/>
    <mergeCell ref="G34:M34"/>
    <mergeCell ref="N34:O34"/>
    <mergeCell ref="P34:R34"/>
    <mergeCell ref="G35:M35"/>
    <mergeCell ref="N35:O35"/>
    <mergeCell ref="P35:R35"/>
    <mergeCell ref="G36:M36"/>
    <mergeCell ref="N36:O36"/>
    <mergeCell ref="P36:R36"/>
    <mergeCell ref="G37:M37"/>
    <mergeCell ref="N37:O37"/>
    <mergeCell ref="P37:R37"/>
    <mergeCell ref="B38:W39"/>
    <mergeCell ref="B40:W40"/>
    <mergeCell ref="B41:C41"/>
    <mergeCell ref="D41:L41"/>
    <mergeCell ref="M41:W41"/>
    <mergeCell ref="B42:C42"/>
    <mergeCell ref="D42:L42"/>
    <mergeCell ref="M42:W42"/>
    <mergeCell ref="B43:C43"/>
    <mergeCell ref="D43:L43"/>
    <mergeCell ref="M43:W43"/>
    <mergeCell ref="B44:C44"/>
    <mergeCell ref="D44:L44"/>
    <mergeCell ref="M44:W44"/>
    <mergeCell ref="B45:C45"/>
    <mergeCell ref="D45:L45"/>
    <mergeCell ref="M45:W45"/>
    <mergeCell ref="B46:C46"/>
    <mergeCell ref="D46:L46"/>
    <mergeCell ref="M46:W46"/>
    <mergeCell ref="B47:C47"/>
    <mergeCell ref="D47:L47"/>
    <mergeCell ref="M47:W47"/>
    <mergeCell ref="B48:C48"/>
    <mergeCell ref="D48:L48"/>
    <mergeCell ref="M48:W48"/>
    <mergeCell ref="B49:C49"/>
    <mergeCell ref="D49:L49"/>
    <mergeCell ref="M49:W49"/>
    <mergeCell ref="B50:C50"/>
    <mergeCell ref="D50:L50"/>
    <mergeCell ref="M50:W50"/>
    <mergeCell ref="B51:C51"/>
    <mergeCell ref="D51:L51"/>
    <mergeCell ref="M51:W51"/>
    <mergeCell ref="B52:C52"/>
    <mergeCell ref="D52:L52"/>
    <mergeCell ref="M52:W52"/>
    <mergeCell ref="B53:C53"/>
    <mergeCell ref="D53:L53"/>
    <mergeCell ref="M53:W53"/>
    <mergeCell ref="B54:W54"/>
    <mergeCell ref="B55:W59"/>
    <mergeCell ref="D78:E78"/>
    <mergeCell ref="AG78:AH78"/>
    <mergeCell ref="AE79:AE83"/>
    <mergeCell ref="B80:B82"/>
  </mergeCells>
  <conditionalFormatting sqref="C37">
    <cfRule type="expression" priority="2" aboveAverage="0" equalAverage="0" bottom="0" percent="0" rank="0" text="" dxfId="0">
      <formula>OR(ISBLANK($W$22),ISBLANK($W$23))</formula>
    </cfRule>
    <cfRule type="cellIs" priority="3" operator="lessThan" aboveAverage="0" equalAverage="0" bottom="0" percent="0" rank="0" text="" dxfId="1">
      <formula>$V$14</formula>
    </cfRule>
    <cfRule type="cellIs" priority="4" operator="lessThan" aboveAverage="0" equalAverage="0" bottom="0" percent="0" rank="0" text="" dxfId="2">
      <formula>$V$13</formula>
    </cfRule>
    <cfRule type="cellIs" priority="5" operator="between" aboveAverage="0" equalAverage="0" bottom="0" percent="0" rank="0" text="" dxfId="3">
      <formula>$V$13</formula>
      <formula>$W$13</formula>
    </cfRule>
    <cfRule type="cellIs" priority="6" operator="lessThanOrEqual" aboveAverage="0" equalAverage="0" bottom="0" percent="0" rank="0" text="" dxfId="2">
      <formula>$W$14</formula>
    </cfRule>
    <cfRule type="cellIs" priority="7" operator="greaterThan" aboveAverage="0" equalAverage="0" bottom="0" percent="0" rank="0" text="" dxfId="1">
      <formula>$W$14</formula>
    </cfRule>
  </conditionalFormatting>
  <conditionalFormatting sqref="C36">
    <cfRule type="expression" priority="8" aboveAverage="0" equalAverage="0" bottom="0" percent="0" rank="0" text="" dxfId="0">
      <formula>OR(ISBLANK($V$22),ISBLANK($V$23))</formula>
    </cfRule>
    <cfRule type="cellIs" priority="9" operator="lessThan" aboveAverage="0" equalAverage="0" bottom="0" percent="0" rank="0" text="" dxfId="1">
      <formula>$V$14</formula>
    </cfRule>
    <cfRule type="cellIs" priority="10" operator="lessThan" aboveAverage="0" equalAverage="0" bottom="0" percent="0" rank="0" text="" dxfId="2">
      <formula>$V$13</formula>
    </cfRule>
    <cfRule type="cellIs" priority="11" operator="between" aboveAverage="0" equalAverage="0" bottom="0" percent="0" rank="0" text="" dxfId="3">
      <formula>$V$13</formula>
      <formula>$W$13</formula>
    </cfRule>
    <cfRule type="cellIs" priority="12" operator="lessThanOrEqual" aboveAverage="0" equalAverage="0" bottom="0" percent="0" rank="0" text="" dxfId="2">
      <formula>$W$14</formula>
    </cfRule>
    <cfRule type="cellIs" priority="13" operator="greaterThan" aboveAverage="0" equalAverage="0" bottom="0" percent="0" rank="0" text="" dxfId="1">
      <formula>$W$14</formula>
    </cfRule>
  </conditionalFormatting>
  <conditionalFormatting sqref="C35">
    <cfRule type="expression" priority="14" aboveAverage="0" equalAverage="0" bottom="0" percent="0" rank="0" text="" dxfId="0">
      <formula>OR(ISBLANK($T$22),ISBLANK($T$23))</formula>
    </cfRule>
    <cfRule type="cellIs" priority="15" operator="lessThan" aboveAverage="0" equalAverage="0" bottom="0" percent="0" rank="0" text="" dxfId="1">
      <formula>$V$14</formula>
    </cfRule>
    <cfRule type="cellIs" priority="16" operator="lessThan" aboveAverage="0" equalAverage="0" bottom="0" percent="0" rank="0" text="" dxfId="2">
      <formula>$V$13</formula>
    </cfRule>
    <cfRule type="cellIs" priority="17" operator="between" aboveAverage="0" equalAverage="0" bottom="0" percent="0" rank="0" text="" dxfId="3">
      <formula>$V$13</formula>
      <formula>$W$13</formula>
    </cfRule>
    <cfRule type="cellIs" priority="18" operator="lessThanOrEqual" aboveAverage="0" equalAverage="0" bottom="0" percent="0" rank="0" text="" dxfId="2">
      <formula>$W$14</formula>
    </cfRule>
    <cfRule type="cellIs" priority="19" operator="greaterThan" aboveAverage="0" equalAverage="0" bottom="0" percent="0" rank="0" text="" dxfId="1">
      <formula>$W$14</formula>
    </cfRule>
  </conditionalFormatting>
  <conditionalFormatting sqref="C34">
    <cfRule type="expression" priority="20" aboveAverage="0" equalAverage="0" bottom="0" percent="0" rank="0" text="" dxfId="0">
      <formula>OR(ISBLANK($R$22),ISBLANK($R$23))</formula>
    </cfRule>
    <cfRule type="cellIs" priority="21" operator="lessThan" aboveAverage="0" equalAverage="0" bottom="0" percent="0" rank="0" text="" dxfId="1">
      <formula>$V$14</formula>
    </cfRule>
    <cfRule type="cellIs" priority="22" operator="lessThan" aboveAverage="0" equalAverage="0" bottom="0" percent="0" rank="0" text="" dxfId="2">
      <formula>$V$13</formula>
    </cfRule>
    <cfRule type="cellIs" priority="23" operator="between" aboveAverage="0" equalAverage="0" bottom="0" percent="0" rank="0" text="" dxfId="3">
      <formula>$V$13</formula>
      <formula>$W$13</formula>
    </cfRule>
    <cfRule type="cellIs" priority="24" operator="lessThanOrEqual" aboveAverage="0" equalAverage="0" bottom="0" percent="0" rank="0" text="" dxfId="2">
      <formula>$W$14</formula>
    </cfRule>
    <cfRule type="cellIs" priority="25" operator="greaterThan" aboveAverage="0" equalAverage="0" bottom="0" percent="0" rank="0" text="" dxfId="1">
      <formula>$W$14</formula>
    </cfRule>
  </conditionalFormatting>
  <conditionalFormatting sqref="C33">
    <cfRule type="expression" priority="26" aboveAverage="0" equalAverage="0" bottom="0" percent="0" rank="0" text="" dxfId="0">
      <formula>OR(ISBLANK($P$22),ISBLANK($P$23))</formula>
    </cfRule>
    <cfRule type="cellIs" priority="27" operator="lessThan" aboveAverage="0" equalAverage="0" bottom="0" percent="0" rank="0" text="" dxfId="1">
      <formula>$V$14</formula>
    </cfRule>
    <cfRule type="cellIs" priority="28" operator="lessThan" aboveAverage="0" equalAverage="0" bottom="0" percent="0" rank="0" text="" dxfId="2">
      <formula>$V$13</formula>
    </cfRule>
    <cfRule type="cellIs" priority="29" operator="between" aboveAverage="0" equalAverage="0" bottom="0" percent="0" rank="0" text="" dxfId="3">
      <formula>$V$13</formula>
      <formula>$W$13</formula>
    </cfRule>
    <cfRule type="cellIs" priority="30" operator="lessThanOrEqual" aboveAverage="0" equalAverage="0" bottom="0" percent="0" rank="0" text="" dxfId="2">
      <formula>$W$14</formula>
    </cfRule>
    <cfRule type="cellIs" priority="31" operator="greaterThan" aboveAverage="0" equalAverage="0" bottom="0" percent="0" rank="0" text="" dxfId="1">
      <formula>$W$14</formula>
    </cfRule>
  </conditionalFormatting>
  <conditionalFormatting sqref="C32">
    <cfRule type="expression" priority="32" aboveAverage="0" equalAverage="0" bottom="0" percent="0" rank="0" text="" dxfId="0">
      <formula>OR(ISBLANK($N$22),ISBLANK($N$23))</formula>
    </cfRule>
    <cfRule type="cellIs" priority="33" operator="lessThan" aboveAverage="0" equalAverage="0" bottom="0" percent="0" rank="0" text="" dxfId="1">
      <formula>$V$14</formula>
    </cfRule>
    <cfRule type="cellIs" priority="34" operator="lessThan" aboveAverage="0" equalAverage="0" bottom="0" percent="0" rank="0" text="" dxfId="2">
      <formula>$V$13</formula>
    </cfRule>
    <cfRule type="cellIs" priority="35" operator="between" aboveAverage="0" equalAverage="0" bottom="0" percent="0" rank="0" text="" dxfId="3">
      <formula>$V$13</formula>
      <formula>$W$13</formula>
    </cfRule>
    <cfRule type="cellIs" priority="36" operator="lessThanOrEqual" aboveAverage="0" equalAverage="0" bottom="0" percent="0" rank="0" text="" dxfId="2">
      <formula>$W$14</formula>
    </cfRule>
    <cfRule type="cellIs" priority="37" operator="greaterThan" aboveAverage="0" equalAverage="0" bottom="0" percent="0" rank="0" text="" dxfId="1">
      <formula>$W$14</formula>
    </cfRule>
  </conditionalFormatting>
  <conditionalFormatting sqref="C31">
    <cfRule type="expression" priority="38" aboveAverage="0" equalAverage="0" bottom="0" percent="0" rank="0" text="" dxfId="0">
      <formula>OR(ISBLANK($L$22),ISBLANK($L$23))</formula>
    </cfRule>
    <cfRule type="cellIs" priority="39" operator="lessThan" aboveAverage="0" equalAverage="0" bottom="0" percent="0" rank="0" text="" dxfId="1">
      <formula>$V$14</formula>
    </cfRule>
    <cfRule type="cellIs" priority="40" operator="lessThan" aboveAverage="0" equalAverage="0" bottom="0" percent="0" rank="0" text="" dxfId="2">
      <formula>$V$13</formula>
    </cfRule>
    <cfRule type="cellIs" priority="41" operator="between" aboveAverage="0" equalAverage="0" bottom="0" percent="0" rank="0" text="" dxfId="3">
      <formula>$V$13</formula>
      <formula>$W$13</formula>
    </cfRule>
    <cfRule type="cellIs" priority="42" operator="lessThanOrEqual" aboveAverage="0" equalAverage="0" bottom="0" percent="0" rank="0" text="" dxfId="2">
      <formula>$W$14</formula>
    </cfRule>
    <cfRule type="cellIs" priority="43" operator="greaterThan" aboveAverage="0" equalAverage="0" bottom="0" percent="0" rank="0" text="" dxfId="1">
      <formula>$W$14</formula>
    </cfRule>
  </conditionalFormatting>
  <conditionalFormatting sqref="C30">
    <cfRule type="expression" priority="44" aboveAverage="0" equalAverage="0" bottom="0" percent="0" rank="0" text="" dxfId="0">
      <formula>OR(ISBLANK($K$22),ISBLANK($K$23))</formula>
    </cfRule>
    <cfRule type="cellIs" priority="45" operator="lessThan" aboveAverage="0" equalAverage="0" bottom="0" percent="0" rank="0" text="" dxfId="1">
      <formula>$V$14</formula>
    </cfRule>
    <cfRule type="cellIs" priority="46" operator="lessThan" aboveAverage="0" equalAverage="0" bottom="0" percent="0" rank="0" text="" dxfId="2">
      <formula>$V$13</formula>
    </cfRule>
    <cfRule type="cellIs" priority="47" operator="between" aboveAverage="0" equalAverage="0" bottom="0" percent="0" rank="0" text="" dxfId="3">
      <formula>$V$13</formula>
      <formula>$W$13</formula>
    </cfRule>
    <cfRule type="cellIs" priority="48" operator="lessThanOrEqual" aboveAverage="0" equalAverage="0" bottom="0" percent="0" rank="0" text="" dxfId="2">
      <formula>$W$14</formula>
    </cfRule>
    <cfRule type="cellIs" priority="49" operator="greaterThan" aboveAverage="0" equalAverage="0" bottom="0" percent="0" rank="0" text="" dxfId="1">
      <formula>$W$14</formula>
    </cfRule>
  </conditionalFormatting>
  <conditionalFormatting sqref="C29">
    <cfRule type="expression" priority="50" aboveAverage="0" equalAverage="0" bottom="0" percent="0" rank="0" text="" dxfId="0">
      <formula>OR(ISBLANK($H$22),ISBLANK($H$23))</formula>
    </cfRule>
    <cfRule type="cellIs" priority="51" operator="lessThan" aboveAverage="0" equalAverage="0" bottom="0" percent="0" rank="0" text="" dxfId="1">
      <formula>$V$14</formula>
    </cfRule>
    <cfRule type="cellIs" priority="52" operator="lessThan" aboveAverage="0" equalAverage="0" bottom="0" percent="0" rank="0" text="" dxfId="2">
      <formula>$V$13</formula>
    </cfRule>
    <cfRule type="cellIs" priority="53" operator="between" aboveAverage="0" equalAverage="0" bottom="0" percent="0" rank="0" text="" dxfId="3">
      <formula>$V$13</formula>
      <formula>$W$13</formula>
    </cfRule>
    <cfRule type="cellIs" priority="54" operator="lessThanOrEqual" aboveAverage="0" equalAverage="0" bottom="0" percent="0" rank="0" text="" dxfId="2">
      <formula>$W$14</formula>
    </cfRule>
    <cfRule type="cellIs" priority="55" operator="greaterThan" aboveAverage="0" equalAverage="0" bottom="0" percent="0" rank="0" text="" dxfId="1">
      <formula>$W$14</formula>
    </cfRule>
  </conditionalFormatting>
  <conditionalFormatting sqref="C28">
    <cfRule type="expression" priority="56" aboveAverage="0" equalAverage="0" bottom="0" percent="0" rank="0" text="" dxfId="0">
      <formula>OR(ISBLANK($F$22),ISBLANK($F$23))</formula>
    </cfRule>
    <cfRule type="cellIs" priority="57" operator="lessThan" aboveAverage="0" equalAverage="0" bottom="0" percent="0" rank="0" text="" dxfId="1">
      <formula>$V$14</formula>
    </cfRule>
    <cfRule type="cellIs" priority="58" operator="lessThan" aboveAverage="0" equalAverage="0" bottom="0" percent="0" rank="0" text="" dxfId="2">
      <formula>$V$13</formula>
    </cfRule>
    <cfRule type="cellIs" priority="59" operator="between" aboveAverage="0" equalAverage="0" bottom="0" percent="0" rank="0" text="" dxfId="3">
      <formula>$V$13</formula>
      <formula>$W$13</formula>
    </cfRule>
    <cfRule type="cellIs" priority="60" operator="lessThanOrEqual" aboveAverage="0" equalAverage="0" bottom="0" percent="0" rank="0" text="" dxfId="2">
      <formula>$W$14</formula>
    </cfRule>
    <cfRule type="cellIs" priority="61" operator="greaterThan" aboveAverage="0" equalAverage="0" bottom="0" percent="0" rank="0" text="" dxfId="1">
      <formula>$W$14</formula>
    </cfRule>
  </conditionalFormatting>
  <conditionalFormatting sqref="C27">
    <cfRule type="expression" priority="62" aboveAverage="0" equalAverage="0" bottom="0" percent="0" rank="0" text="" dxfId="0">
      <formula>OR(ISBLANK($E$22),ISBLANK($E$23))</formula>
    </cfRule>
    <cfRule type="cellIs" priority="63" operator="lessThan" aboveAverage="0" equalAverage="0" bottom="0" percent="0" rank="0" text="" dxfId="1">
      <formula>$V$14</formula>
    </cfRule>
    <cfRule type="cellIs" priority="64" operator="lessThan" aboveAverage="0" equalAverage="0" bottom="0" percent="0" rank="0" text="" dxfId="2">
      <formula>$V$13</formula>
    </cfRule>
    <cfRule type="cellIs" priority="65" operator="between" aboveAverage="0" equalAverage="0" bottom="0" percent="0" rank="0" text="" dxfId="3">
      <formula>$V$13</formula>
      <formula>$W$13</formula>
    </cfRule>
    <cfRule type="cellIs" priority="66" operator="lessThanOrEqual" aboveAverage="0" equalAverage="0" bottom="0" percent="0" rank="0" text="" dxfId="2">
      <formula>$W$14</formula>
    </cfRule>
    <cfRule type="cellIs" priority="67" operator="greaterThan" aboveAverage="0" equalAverage="0" bottom="0" percent="0" rank="0" text="" dxfId="1">
      <formula>$W$14</formula>
    </cfRule>
  </conditionalFormatting>
  <conditionalFormatting sqref="C26">
    <cfRule type="expression" priority="68" aboveAverage="0" equalAverage="0" bottom="0" percent="0" rank="0" text="" dxfId="0">
      <formula>OR(ISBLANK($D$22),ISBLANK($D$23))</formula>
    </cfRule>
    <cfRule type="cellIs" priority="69" operator="lessThan" aboveAverage="0" equalAverage="0" bottom="0" percent="0" rank="0" text="" dxfId="1">
      <formula>$V$14</formula>
    </cfRule>
    <cfRule type="cellIs" priority="70" operator="lessThan" aboveAverage="0" equalAverage="0" bottom="0" percent="0" rank="0" text="" dxfId="2">
      <formula>$V$13</formula>
    </cfRule>
    <cfRule type="cellIs" priority="71" operator="between" aboveAverage="0" equalAverage="0" bottom="0" percent="0" rank="0" text="" dxfId="3">
      <formula>$V$13</formula>
      <formula>$W$13</formula>
    </cfRule>
    <cfRule type="cellIs" priority="72" operator="lessThanOrEqual" aboveAverage="0" equalAverage="0" bottom="0" percent="0" rank="0" text="" dxfId="2">
      <formula>$W$14</formula>
    </cfRule>
    <cfRule type="cellIs" priority="73" operator="greaterThan" aboveAverage="0" equalAverage="0" bottom="0" percent="0" rank="0" text="" dxfId="1">
      <formula>$W$14</formula>
    </cfRule>
  </conditionalFormatting>
  <conditionalFormatting sqref="O256">
    <cfRule type="cellIs" priority="74" operator="equal" aboveAverage="0" equalAverage="0" bottom="0" percent="0" rank="0" text="" dxfId="4">
      <formula>$K$12</formula>
    </cfRule>
  </conditionalFormatting>
  <dataValidations count="6">
    <dataValidation allowBlank="true" errorStyle="stop" operator="between" showDropDown="false" showErrorMessage="true" showInputMessage="true" sqref="P12:R12" type="list">
      <formula1>$AF$79:$AF$84</formula1>
      <formula2>0</formula2>
    </dataValidation>
    <dataValidation allowBlank="true" errorStyle="stop" operator="between" showDropDown="false" showErrorMessage="true" showInputMessage="true" sqref="D18:H18" type="list">
      <formula1>$M$79:$M$82</formula1>
      <formula2>0</formula2>
    </dataValidation>
    <dataValidation allowBlank="true" errorStyle="stop" operator="between" showDropDown="false" showErrorMessage="true" showInputMessage="true" sqref="R4:W5" type="list">
      <formula1>$C$80:$C$82</formula1>
      <formula2>0</formula2>
    </dataValidation>
    <dataValidation allowBlank="true" errorStyle="stop" operator="between" showDropDown="false" showErrorMessage="true" showInputMessage="true" sqref="M18:P18" type="list">
      <formula1>$T$79:$T$91</formula1>
      <formula2>0</formula2>
    </dataValidation>
    <dataValidation allowBlank="true" errorStyle="stop" operator="between" showDropDown="false" showErrorMessage="true" showInputMessage="true" sqref="T18:W18" type="list">
      <formula1>$Y$79:$Y$97</formula1>
      <formula2>0</formula2>
    </dataValidation>
    <dataValidation allowBlank="true" errorStyle="stop" operator="between" showDropDown="false" showErrorMessage="true" showInputMessage="true" sqref="D19:H19 M19:P19 T19:W19" type="list">
      <formula1>$AC$79:$AC$103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8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D48" activeCellId="0" sqref="D48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9.42"/>
    <col collapsed="false" customWidth="true" hidden="false" outlineLevel="0" max="3" min="3" style="1" width="13.42"/>
    <col collapsed="false" customWidth="true" hidden="false" outlineLevel="0" max="4" min="4" style="1" width="13.57"/>
    <col collapsed="false" customWidth="true" hidden="false" outlineLevel="0" max="5" min="5" style="1" width="14.29"/>
    <col collapsed="false" customWidth="true" hidden="false" outlineLevel="0" max="6" min="6" style="1" width="8.57"/>
    <col collapsed="false" customWidth="true" hidden="false" outlineLevel="0" max="7" min="7" style="1" width="3.71"/>
    <col collapsed="false" customWidth="true" hidden="false" outlineLevel="0" max="8" min="8" style="1" width="3.57"/>
    <col collapsed="false" customWidth="true" hidden="false" outlineLevel="0" max="9" min="9" style="1" width="3"/>
    <col collapsed="false" customWidth="true" hidden="false" outlineLevel="0" max="10" min="10" style="1" width="5.29"/>
    <col collapsed="false" customWidth="true" hidden="false" outlineLevel="0" max="11" min="11" style="1" width="10.29"/>
    <col collapsed="false" customWidth="true" hidden="false" outlineLevel="0" max="12" min="12" style="1" width="3"/>
    <col collapsed="false" customWidth="true" hidden="false" outlineLevel="0" max="13" min="13" style="1" width="6.85"/>
    <col collapsed="false" customWidth="true" hidden="false" outlineLevel="0" max="14" min="14" style="1" width="6.71"/>
    <col collapsed="false" customWidth="true" hidden="false" outlineLevel="0" max="15" min="15" style="1" width="7.42"/>
    <col collapsed="false" customWidth="true" hidden="false" outlineLevel="0" max="16" min="16" style="1" width="7.15"/>
    <col collapsed="false" customWidth="true" hidden="false" outlineLevel="0" max="18" min="17" style="1" width="7"/>
    <col collapsed="false" customWidth="true" hidden="false" outlineLevel="0" max="19" min="19" style="1" width="2.29"/>
    <col collapsed="false" customWidth="true" hidden="false" outlineLevel="0" max="20" min="20" style="1" width="6.71"/>
    <col collapsed="false" customWidth="true" hidden="false" outlineLevel="0" max="21" min="21" style="1" width="3.71"/>
    <col collapsed="false" customWidth="true" hidden="false" outlineLevel="0" max="22" min="22" style="1" width="9.71"/>
    <col collapsed="false" customWidth="true" hidden="false" outlineLevel="0" max="23" min="23" style="1" width="11.14"/>
    <col collapsed="false" customWidth="true" hidden="false" outlineLevel="0" max="24" min="24" style="1" width="2.15"/>
    <col collapsed="false" customWidth="false" hidden="false" outlineLevel="0" max="26" min="25" style="1" width="11.43"/>
    <col collapsed="false" customWidth="false" hidden="false" outlineLevel="0" max="27" min="27" style="2" width="11.43"/>
    <col collapsed="false" customWidth="false" hidden="false" outlineLevel="0" max="32" min="28" style="1" width="11.43"/>
    <col collapsed="false" customWidth="true" hidden="false" outlineLevel="0" max="33" min="33" style="1" width="8.15"/>
    <col collapsed="false" customWidth="true" hidden="false" outlineLevel="0" max="34" min="34" style="1" width="8.86"/>
    <col collapsed="false" customWidth="true" hidden="false" outlineLevel="0" max="35" min="35" style="1" width="6.57"/>
    <col collapsed="false" customWidth="true" hidden="false" outlineLevel="0" max="37" min="36" style="1" width="6.29"/>
    <col collapsed="false" customWidth="true" hidden="false" outlineLevel="0" max="38" min="38" style="1" width="6"/>
    <col collapsed="false" customWidth="true" hidden="false" outlineLevel="0" max="39" min="39" style="1" width="5.57"/>
    <col collapsed="false" customWidth="true" hidden="false" outlineLevel="0" max="40" min="40" style="1" width="6.85"/>
    <col collapsed="false" customWidth="true" hidden="false" outlineLevel="0" max="41" min="41" style="1" width="5.42"/>
    <col collapsed="false" customWidth="true" hidden="false" outlineLevel="0" max="42" min="42" style="1" width="6"/>
    <col collapsed="false" customWidth="true" hidden="false" outlineLevel="0" max="43" min="43" style="1" width="6.57"/>
    <col collapsed="false" customWidth="true" hidden="false" outlineLevel="0" max="44" min="44" style="1" width="6.43"/>
    <col collapsed="false" customWidth="false" hidden="false" outlineLevel="0" max="16384" min="45" style="1" width="11.43"/>
  </cols>
  <sheetData>
    <row r="1" s="2" customFormat="true" ht="13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2" customFormat="true" ht="15.75" hidden="false" customHeight="true" outlineLevel="0" collapsed="false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1"/>
      <c r="Y2" s="1"/>
      <c r="Z2" s="1"/>
    </row>
    <row r="3" s="2" customFormat="true" ht="19.5" hidden="false" customHeight="true" outlineLevel="0" collapsed="false">
      <c r="B3" s="6"/>
      <c r="C3" s="7" t="s">
        <v>1</v>
      </c>
      <c r="D3" s="7"/>
      <c r="E3" s="7"/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3</v>
      </c>
      <c r="S3" s="9"/>
      <c r="T3" s="9"/>
      <c r="U3" s="9"/>
      <c r="V3" s="9"/>
      <c r="W3" s="9"/>
      <c r="X3" s="1"/>
      <c r="Y3" s="1"/>
      <c r="Z3" s="1"/>
    </row>
    <row r="4" s="2" customFormat="true" ht="15" hidden="false" customHeight="true" outlineLevel="0" collapsed="false">
      <c r="B4" s="6"/>
      <c r="C4" s="10" t="s">
        <v>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1" t="s">
        <v>5</v>
      </c>
      <c r="S4" s="11"/>
      <c r="T4" s="11"/>
      <c r="U4" s="11"/>
      <c r="V4" s="11"/>
      <c r="W4" s="11"/>
      <c r="X4" s="1"/>
      <c r="Y4" s="1"/>
      <c r="Z4" s="1"/>
    </row>
    <row r="5" s="2" customFormat="true" ht="11.25" hidden="false" customHeight="true" outlineLevel="0" collapsed="false">
      <c r="B5" s="6"/>
      <c r="C5" s="10"/>
      <c r="D5" s="10"/>
      <c r="E5" s="1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"/>
      <c r="Y5" s="1"/>
      <c r="Z5" s="1"/>
    </row>
    <row r="6" s="2" customFormat="true" ht="19.5" hidden="false" customHeight="true" outlineLevel="0" collapsed="false">
      <c r="B6" s="12" t="str">
        <f aca="false">IF(ISBLANK(R4)," ",VLOOKUP(R4,C80:E82,2,FALSE()))</f>
        <v>PROCESO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"/>
      <c r="Y6" s="1"/>
      <c r="Z6" s="1"/>
    </row>
    <row r="7" s="2" customFormat="true" ht="30" hidden="false" customHeight="true" outlineLevel="0" collapsed="false">
      <c r="B7" s="13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"/>
      <c r="Y7" s="1"/>
      <c r="Z7" s="1"/>
    </row>
    <row r="8" s="2" customFormat="true" ht="18" hidden="false" customHeight="true" outlineLevel="0" collapsed="false">
      <c r="B8" s="12" t="str">
        <f aca="false">IF(ISBLANK(R4)," ",VLOOKUP(R4,C80:E82,3,FALSE()))</f>
        <v>OBJETIVO DEL PROCESO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"/>
      <c r="Y8" s="1"/>
      <c r="Z8" s="1"/>
    </row>
    <row r="9" s="2" customFormat="true" ht="39" hidden="false" customHeight="true" outlineLevel="0" collapsed="false">
      <c r="B9" s="13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"/>
      <c r="Y9" s="1"/>
      <c r="Z9" s="1"/>
    </row>
    <row r="10" s="2" customFormat="true" ht="24.75" hidden="false" customHeight="true" outlineLevel="0" collapsed="false">
      <c r="B10" s="14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"/>
      <c r="Y10" s="1"/>
      <c r="Z10" s="1"/>
    </row>
    <row r="11" s="2" customFormat="true" ht="30" hidden="false" customHeight="true" outlineLevel="0" collapsed="false">
      <c r="B11" s="15" t="s">
        <v>9</v>
      </c>
      <c r="C11" s="15"/>
      <c r="D11" s="16" t="s">
        <v>194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 t="s">
        <v>11</v>
      </c>
      <c r="T11" s="17"/>
      <c r="U11" s="17"/>
      <c r="V11" s="17"/>
      <c r="W11" s="17"/>
      <c r="X11" s="1"/>
      <c r="Y11" s="1"/>
      <c r="Z11" s="1"/>
    </row>
    <row r="12" s="1" customFormat="true" ht="30" hidden="false" customHeight="true" outlineLevel="0" collapsed="false">
      <c r="B12" s="18" t="s">
        <v>12</v>
      </c>
      <c r="C12" s="18"/>
      <c r="D12" s="16" t="s">
        <v>195</v>
      </c>
      <c r="E12" s="16"/>
      <c r="F12" s="16"/>
      <c r="G12" s="19" t="s">
        <v>14</v>
      </c>
      <c r="H12" s="19"/>
      <c r="I12" s="19"/>
      <c r="J12" s="19"/>
      <c r="K12" s="16" t="s">
        <v>196</v>
      </c>
      <c r="L12" s="16"/>
      <c r="M12" s="16"/>
      <c r="N12" s="20" t="s">
        <v>16</v>
      </c>
      <c r="O12" s="20"/>
      <c r="P12" s="16" t="s">
        <v>17</v>
      </c>
      <c r="Q12" s="16"/>
      <c r="R12" s="16"/>
      <c r="S12" s="21"/>
      <c r="T12" s="21"/>
      <c r="U12" s="21"/>
      <c r="V12" s="17" t="s">
        <v>18</v>
      </c>
      <c r="W12" s="17" t="s">
        <v>19</v>
      </c>
    </row>
    <row r="13" s="2" customFormat="true" ht="30" hidden="false" customHeight="true" outlineLevel="0" collapsed="false">
      <c r="B13" s="18" t="s">
        <v>20</v>
      </c>
      <c r="C13" s="18"/>
      <c r="D13" s="22" t="s">
        <v>197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3"/>
      <c r="U13" s="23"/>
      <c r="V13" s="24" t="n">
        <v>0</v>
      </c>
      <c r="W13" s="24" t="n">
        <v>3</v>
      </c>
      <c r="X13" s="1"/>
      <c r="Y13" s="1"/>
      <c r="Z13" s="1"/>
    </row>
    <row r="14" s="2" customFormat="true" ht="30" hidden="false" customHeight="true" outlineLevel="0" collapsed="false">
      <c r="B14" s="18"/>
      <c r="C14" s="18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5"/>
      <c r="T14" s="26"/>
      <c r="U14" s="27"/>
      <c r="V14" s="24" t="n">
        <v>0</v>
      </c>
      <c r="W14" s="24" t="n">
        <v>5</v>
      </c>
      <c r="X14" s="1"/>
      <c r="Y14" s="1"/>
      <c r="Z14" s="1"/>
    </row>
    <row r="15" customFormat="false" ht="30" hidden="false" customHeight="true" outlineLevel="0" collapsed="false">
      <c r="B15" s="18"/>
      <c r="C15" s="1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8"/>
      <c r="T15" s="29"/>
      <c r="U15" s="30"/>
      <c r="V15" s="24" t="str">
        <f aca="false">CONCATENATE("&lt; ",V14)</f>
        <v>&lt; 0</v>
      </c>
      <c r="W15" s="24" t="str">
        <f aca="false">CONCATENATE("&gt; ",W14)</f>
        <v>&gt; 5</v>
      </c>
    </row>
    <row r="16" customFormat="false" ht="30" hidden="false" customHeight="true" outlineLevel="0" collapsed="false">
      <c r="B16" s="31" t="s">
        <v>22</v>
      </c>
      <c r="C16" s="31"/>
      <c r="D16" s="32" t="s">
        <v>23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8" t="s">
        <v>24</v>
      </c>
      <c r="T16" s="18"/>
      <c r="U16" s="18"/>
      <c r="V16" s="33" t="s">
        <v>25</v>
      </c>
      <c r="W16" s="33"/>
    </row>
    <row r="17" customFormat="false" ht="14.25" hidden="false" customHeight="true" outlineLevel="0" collapsed="false">
      <c r="B17" s="34" t="s">
        <v>26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customFormat="false" ht="26.25" hidden="false" customHeight="true" outlineLevel="0" collapsed="false">
      <c r="B18" s="31" t="s">
        <v>27</v>
      </c>
      <c r="C18" s="31"/>
      <c r="D18" s="35" t="s">
        <v>28</v>
      </c>
      <c r="E18" s="35"/>
      <c r="F18" s="35"/>
      <c r="G18" s="35"/>
      <c r="H18" s="35"/>
      <c r="I18" s="31" t="s">
        <v>29</v>
      </c>
      <c r="J18" s="31"/>
      <c r="K18" s="31"/>
      <c r="L18" s="31"/>
      <c r="M18" s="16" t="s">
        <v>30</v>
      </c>
      <c r="N18" s="16"/>
      <c r="O18" s="16"/>
      <c r="P18" s="16"/>
      <c r="Q18" s="18" t="s">
        <v>31</v>
      </c>
      <c r="R18" s="18"/>
      <c r="S18" s="18"/>
      <c r="T18" s="36" t="s">
        <v>32</v>
      </c>
      <c r="U18" s="36"/>
      <c r="V18" s="36"/>
      <c r="W18" s="36"/>
      <c r="X18" s="37"/>
    </row>
    <row r="19" customFormat="false" ht="30" hidden="false" customHeight="true" outlineLevel="0" collapsed="false">
      <c r="B19" s="31" t="s">
        <v>33</v>
      </c>
      <c r="C19" s="31"/>
      <c r="D19" s="35" t="s">
        <v>34</v>
      </c>
      <c r="E19" s="35"/>
      <c r="F19" s="35"/>
      <c r="G19" s="35"/>
      <c r="H19" s="35"/>
      <c r="I19" s="18" t="s">
        <v>35</v>
      </c>
      <c r="J19" s="18"/>
      <c r="K19" s="18"/>
      <c r="L19" s="18"/>
      <c r="M19" s="16" t="s">
        <v>34</v>
      </c>
      <c r="N19" s="16"/>
      <c r="O19" s="16"/>
      <c r="P19" s="16"/>
      <c r="Q19" s="18" t="s">
        <v>36</v>
      </c>
      <c r="R19" s="18"/>
      <c r="S19" s="18"/>
      <c r="T19" s="36" t="s">
        <v>34</v>
      </c>
      <c r="U19" s="36"/>
      <c r="V19" s="36"/>
      <c r="W19" s="36"/>
    </row>
    <row r="20" customFormat="false" ht="17.25" hidden="false" customHeight="true" outlineLevel="0" collapsed="false">
      <c r="B20" s="14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24.75" hidden="false" customHeight="true" outlineLevel="0" collapsed="false">
      <c r="B21" s="38" t="s">
        <v>38</v>
      </c>
      <c r="C21" s="38"/>
      <c r="D21" s="39" t="str">
        <f aca="false">VLOOKUP(P12,$AF$79:$AR$84,2,FALSE())</f>
        <v>Oct.</v>
      </c>
      <c r="E21" s="39" t="str">
        <f aca="false">VLOOKUP(P12,$AF$79:$AR$84,3,FALSE())</f>
        <v>Nov.</v>
      </c>
      <c r="F21" s="40" t="str">
        <f aca="false">VLOOKUP(P12,$AF$79:$AR$84,4,FALSE())</f>
        <v>Dic.</v>
      </c>
      <c r="G21" s="40"/>
      <c r="H21" s="40" t="str">
        <f aca="false">VLOOKUP(P12,$AF$79:$AR$84,5,FALSE())</f>
        <v>Ene.</v>
      </c>
      <c r="I21" s="40"/>
      <c r="J21" s="40"/>
      <c r="K21" s="41" t="str">
        <f aca="false">VLOOKUP(P12,$AF$79:$AR$84,6,FALSE())</f>
        <v>Feb.</v>
      </c>
      <c r="L21" s="42" t="str">
        <f aca="false">VLOOKUP(P12,$AF$79:$AR$84,7,FALSE())</f>
        <v>Mar.</v>
      </c>
      <c r="M21" s="42"/>
      <c r="N21" s="42" t="str">
        <f aca="false">VLOOKUP(P12,$AF$79:$AR$84,8,FALSE())</f>
        <v>Abr.</v>
      </c>
      <c r="O21" s="42"/>
      <c r="P21" s="43" t="str">
        <f aca="false">VLOOKUP(P12,$AF$79:$AR$84,9,FALSE())</f>
        <v>May.</v>
      </c>
      <c r="Q21" s="43"/>
      <c r="R21" s="43" t="str">
        <f aca="false">VLOOKUP(P12,$AF$79:$AR$84,10,FALSE())</f>
        <v>Jun.</v>
      </c>
      <c r="S21" s="43"/>
      <c r="T21" s="44" t="str">
        <f aca="false">VLOOKUP(P12,$AF$79:$AR$84,11,FALSE())</f>
        <v>Jul.</v>
      </c>
      <c r="U21" s="44"/>
      <c r="V21" s="45" t="str">
        <f aca="false">VLOOKUP(P12,$AF$79:$AR$84,12,FALSE())</f>
        <v>Ago.</v>
      </c>
      <c r="W21" s="41" t="str">
        <f aca="false">VLOOKUP(P12,$AF$79:$AR$84,13,FALSE())</f>
        <v>Sep.</v>
      </c>
    </row>
    <row r="22" customFormat="false" ht="28.5" hidden="false" customHeight="true" outlineLevel="0" collapsed="false">
      <c r="B22" s="46" t="s">
        <v>198</v>
      </c>
      <c r="C22" s="46"/>
      <c r="D22" s="47" t="n">
        <v>35</v>
      </c>
      <c r="E22" s="47" t="n">
        <v>24</v>
      </c>
      <c r="F22" s="47" t="n">
        <v>4</v>
      </c>
      <c r="G22" s="47"/>
      <c r="H22" s="47" t="n">
        <v>11</v>
      </c>
      <c r="I22" s="47"/>
      <c r="J22" s="47"/>
      <c r="K22" s="47" t="n">
        <v>18</v>
      </c>
      <c r="L22" s="47" t="n">
        <v>46</v>
      </c>
      <c r="M22" s="47"/>
      <c r="N22" s="47" t="n">
        <v>30</v>
      </c>
      <c r="O22" s="47"/>
      <c r="P22" s="47" t="n">
        <v>24</v>
      </c>
      <c r="Q22" s="47"/>
      <c r="R22" s="47"/>
      <c r="S22" s="47"/>
      <c r="T22" s="47"/>
      <c r="U22" s="47"/>
      <c r="V22" s="48"/>
      <c r="W22" s="49"/>
    </row>
    <row r="23" customFormat="false" ht="24.75" hidden="false" customHeight="true" outlineLevel="0" collapsed="false">
      <c r="B23" s="50" t="s">
        <v>199</v>
      </c>
      <c r="C23" s="50"/>
      <c r="D23" s="51" t="n">
        <v>13</v>
      </c>
      <c r="E23" s="51" t="n">
        <v>14</v>
      </c>
      <c r="F23" s="47" t="n">
        <v>4</v>
      </c>
      <c r="G23" s="47"/>
      <c r="H23" s="47" t="n">
        <v>10</v>
      </c>
      <c r="I23" s="47"/>
      <c r="J23" s="47"/>
      <c r="K23" s="51" t="n">
        <v>10</v>
      </c>
      <c r="L23" s="47" t="n">
        <v>15</v>
      </c>
      <c r="M23" s="47"/>
      <c r="N23" s="47" t="n">
        <v>9</v>
      </c>
      <c r="O23" s="47"/>
      <c r="P23" s="47" t="n">
        <v>10</v>
      </c>
      <c r="Q23" s="47"/>
      <c r="R23" s="47"/>
      <c r="S23" s="47"/>
      <c r="T23" s="47"/>
      <c r="U23" s="47"/>
      <c r="V23" s="48"/>
      <c r="W23" s="52"/>
    </row>
    <row r="24" customFormat="false" ht="15" hidden="false" customHeight="true" outlineLevel="0" collapsed="false">
      <c r="B24" s="53" t="s">
        <v>41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15" hidden="false" customHeight="true" outlineLevel="0" collapsed="false">
      <c r="B25" s="54" t="s">
        <v>42</v>
      </c>
      <c r="C25" s="55" t="s">
        <v>43</v>
      </c>
      <c r="D25" s="55" t="s">
        <v>18</v>
      </c>
      <c r="E25" s="55" t="s">
        <v>19</v>
      </c>
      <c r="F25" s="56"/>
      <c r="G25" s="57"/>
      <c r="H25" s="57"/>
      <c r="I25" s="57"/>
      <c r="J25" s="57"/>
      <c r="K25" s="57"/>
      <c r="L25" s="57"/>
      <c r="M25" s="57"/>
      <c r="N25" s="58"/>
      <c r="O25" s="58"/>
      <c r="P25" s="58"/>
      <c r="Q25" s="58"/>
      <c r="R25" s="58"/>
      <c r="S25" s="59"/>
      <c r="T25" s="59"/>
      <c r="U25" s="59"/>
      <c r="V25" s="59"/>
      <c r="W25" s="59"/>
    </row>
    <row r="26" customFormat="false" ht="15" hidden="false" customHeight="true" outlineLevel="0" collapsed="false">
      <c r="B26" s="60" t="str">
        <f aca="false">D21</f>
        <v>Oct.</v>
      </c>
      <c r="C26" s="61" t="n">
        <f aca="false">IF(D23=0," ",D22/D23)</f>
        <v>2.69230769230769</v>
      </c>
      <c r="D26" s="62" t="n">
        <f aca="false">IF(ISBLANK($V$13)," ",$V$13)</f>
        <v>0</v>
      </c>
      <c r="E26" s="62" t="n">
        <f aca="false">IF(ISBLANK($W$13)," ",$W$13)</f>
        <v>3</v>
      </c>
      <c r="F26" s="63"/>
      <c r="G26" s="64"/>
      <c r="H26" s="64"/>
      <c r="I26" s="64"/>
      <c r="J26" s="64"/>
      <c r="K26" s="64"/>
      <c r="L26" s="64"/>
      <c r="M26" s="64"/>
      <c r="N26" s="58"/>
      <c r="O26" s="58"/>
      <c r="P26" s="58"/>
      <c r="Q26" s="58"/>
      <c r="R26" s="58"/>
      <c r="S26" s="65"/>
      <c r="T26" s="65"/>
      <c r="U26" s="65"/>
      <c r="V26" s="65"/>
      <c r="W26" s="65"/>
    </row>
    <row r="27" customFormat="false" ht="15" hidden="false" customHeight="true" outlineLevel="0" collapsed="false">
      <c r="B27" s="60" t="str">
        <f aca="false">E21</f>
        <v>Nov.</v>
      </c>
      <c r="C27" s="61" t="n">
        <f aca="false">IF(E23=0," ",E22/E23)</f>
        <v>1.71428571428571</v>
      </c>
      <c r="D27" s="62" t="n">
        <f aca="false">IF(ISBLANK($V$13)," ",$V$13)</f>
        <v>0</v>
      </c>
      <c r="E27" s="62" t="n">
        <f aca="false">IF(ISBLANK($W$13)," ",$W$13)</f>
        <v>3</v>
      </c>
      <c r="F27" s="63"/>
      <c r="G27" s="64"/>
      <c r="H27" s="64"/>
      <c r="I27" s="64"/>
      <c r="J27" s="64"/>
      <c r="K27" s="64"/>
      <c r="L27" s="64"/>
      <c r="M27" s="64"/>
      <c r="N27" s="58"/>
      <c r="O27" s="58"/>
      <c r="P27" s="58"/>
      <c r="Q27" s="58"/>
      <c r="R27" s="58"/>
      <c r="S27" s="65"/>
      <c r="T27" s="65"/>
      <c r="U27" s="65"/>
      <c r="V27" s="65"/>
      <c r="W27" s="65"/>
    </row>
    <row r="28" customFormat="false" ht="15" hidden="false" customHeight="true" outlineLevel="0" collapsed="false">
      <c r="B28" s="60" t="str">
        <f aca="false">F21</f>
        <v>Dic.</v>
      </c>
      <c r="C28" s="61" t="n">
        <f aca="false">IF(F23=0," ",F22/F23)</f>
        <v>1</v>
      </c>
      <c r="D28" s="62" t="n">
        <f aca="false">IF(ISBLANK($V$13)," ",$V$13)</f>
        <v>0</v>
      </c>
      <c r="E28" s="62" t="n">
        <f aca="false">IF(ISBLANK($W$13)," ",$W$13)</f>
        <v>3</v>
      </c>
      <c r="F28" s="63"/>
      <c r="G28" s="64"/>
      <c r="H28" s="64"/>
      <c r="I28" s="64"/>
      <c r="J28" s="64"/>
      <c r="K28" s="64"/>
      <c r="L28" s="64"/>
      <c r="M28" s="64"/>
      <c r="N28" s="58"/>
      <c r="O28" s="58"/>
      <c r="P28" s="58"/>
      <c r="Q28" s="58"/>
      <c r="R28" s="58"/>
      <c r="S28" s="65"/>
      <c r="T28" s="65"/>
      <c r="U28" s="65"/>
      <c r="V28" s="65"/>
      <c r="W28" s="65"/>
    </row>
    <row r="29" customFormat="false" ht="15" hidden="false" customHeight="true" outlineLevel="0" collapsed="false">
      <c r="B29" s="60" t="str">
        <f aca="false">H21</f>
        <v>Ene.</v>
      </c>
      <c r="C29" s="61" t="n">
        <f aca="false">IF(H23=0," ",H22/H23)</f>
        <v>1.1</v>
      </c>
      <c r="D29" s="62" t="n">
        <f aca="false">IF(ISBLANK($V$13)," ",$V$13)</f>
        <v>0</v>
      </c>
      <c r="E29" s="62" t="n">
        <f aca="false">IF(ISBLANK($W$13)," ",$W$13)</f>
        <v>3</v>
      </c>
      <c r="F29" s="63"/>
      <c r="G29" s="64"/>
      <c r="H29" s="64"/>
      <c r="I29" s="64"/>
      <c r="J29" s="64"/>
      <c r="K29" s="64"/>
      <c r="L29" s="64"/>
      <c r="M29" s="64"/>
      <c r="N29" s="58"/>
      <c r="O29" s="58"/>
      <c r="P29" s="58"/>
      <c r="Q29" s="58"/>
      <c r="R29" s="58"/>
      <c r="S29" s="65"/>
      <c r="T29" s="65"/>
      <c r="U29" s="65"/>
      <c r="V29" s="65"/>
      <c r="W29" s="65"/>
      <c r="AB29" s="66"/>
      <c r="AC29" s="66"/>
      <c r="AD29" s="66"/>
    </row>
    <row r="30" customFormat="false" ht="15" hidden="false" customHeight="true" outlineLevel="0" collapsed="false">
      <c r="B30" s="60" t="str">
        <f aca="false">K21</f>
        <v>Feb.</v>
      </c>
      <c r="C30" s="61" t="n">
        <f aca="false">IF(K23=0," ",K22/K23)</f>
        <v>1.8</v>
      </c>
      <c r="D30" s="62" t="n">
        <f aca="false">IF(ISBLANK($V$13)," ",$V$13)</f>
        <v>0</v>
      </c>
      <c r="E30" s="62" t="n">
        <f aca="false">IF(ISBLANK($W$13)," ",$W$13)</f>
        <v>3</v>
      </c>
      <c r="F30" s="63"/>
      <c r="G30" s="64"/>
      <c r="H30" s="64"/>
      <c r="I30" s="64"/>
      <c r="J30" s="64"/>
      <c r="K30" s="64"/>
      <c r="L30" s="64"/>
      <c r="M30" s="64"/>
      <c r="N30" s="58"/>
      <c r="O30" s="58"/>
      <c r="P30" s="58"/>
      <c r="Q30" s="58"/>
      <c r="R30" s="58"/>
      <c r="S30" s="65"/>
      <c r="T30" s="65"/>
      <c r="U30" s="65"/>
      <c r="V30" s="65"/>
      <c r="W30" s="65"/>
      <c r="AB30" s="66"/>
      <c r="AC30" s="66"/>
      <c r="AD30" s="66"/>
    </row>
    <row r="31" customFormat="false" ht="15" hidden="false" customHeight="true" outlineLevel="0" collapsed="false">
      <c r="B31" s="60" t="str">
        <f aca="false">L21</f>
        <v>Mar.</v>
      </c>
      <c r="C31" s="61" t="n">
        <f aca="false">IF(L23=0," ",L22/L23)</f>
        <v>3.06666666666667</v>
      </c>
      <c r="D31" s="62" t="n">
        <f aca="false">IF(ISBLANK($V$13)," ",$V$13)</f>
        <v>0</v>
      </c>
      <c r="E31" s="62" t="n">
        <f aca="false">IF(ISBLANK($W$13)," ",$W$13)</f>
        <v>3</v>
      </c>
      <c r="F31" s="63"/>
      <c r="G31" s="64"/>
      <c r="H31" s="64"/>
      <c r="I31" s="64"/>
      <c r="J31" s="64"/>
      <c r="K31" s="64"/>
      <c r="L31" s="64"/>
      <c r="M31" s="64"/>
      <c r="N31" s="58"/>
      <c r="O31" s="58"/>
      <c r="P31" s="58"/>
      <c r="Q31" s="58"/>
      <c r="R31" s="58"/>
      <c r="S31" s="65"/>
      <c r="T31" s="65"/>
      <c r="U31" s="65"/>
      <c r="V31" s="65"/>
      <c r="W31" s="65"/>
      <c r="AB31" s="66"/>
      <c r="AC31" s="66"/>
      <c r="AD31" s="66"/>
    </row>
    <row r="32" customFormat="false" ht="15" hidden="false" customHeight="true" outlineLevel="0" collapsed="false">
      <c r="B32" s="60" t="str">
        <f aca="false">N21</f>
        <v>Abr.</v>
      </c>
      <c r="C32" s="61" t="n">
        <f aca="false">IF(N23=0," ",N22/N23)</f>
        <v>3.33333333333333</v>
      </c>
      <c r="D32" s="62" t="n">
        <f aca="false">IF(ISBLANK($V$13)," ",$V$13)</f>
        <v>0</v>
      </c>
      <c r="E32" s="62" t="n">
        <f aca="false">IF(ISBLANK($W$13)," ",$W$13)</f>
        <v>3</v>
      </c>
      <c r="F32" s="63"/>
      <c r="G32" s="64"/>
      <c r="H32" s="64"/>
      <c r="I32" s="64"/>
      <c r="J32" s="64"/>
      <c r="K32" s="64"/>
      <c r="L32" s="64"/>
      <c r="M32" s="64"/>
      <c r="N32" s="58"/>
      <c r="O32" s="58"/>
      <c r="P32" s="58"/>
      <c r="Q32" s="58"/>
      <c r="R32" s="58"/>
      <c r="S32" s="65"/>
      <c r="T32" s="65"/>
      <c r="U32" s="65"/>
      <c r="V32" s="65"/>
      <c r="W32" s="65"/>
      <c r="AB32" s="66"/>
      <c r="AC32" s="66"/>
      <c r="AD32" s="66"/>
    </row>
    <row r="33" customFormat="false" ht="15" hidden="false" customHeight="true" outlineLevel="0" collapsed="false">
      <c r="B33" s="60" t="str">
        <f aca="false">P21</f>
        <v>May.</v>
      </c>
      <c r="C33" s="61" t="n">
        <f aca="false">IF(P23=0," ",P22/P23)</f>
        <v>2.4</v>
      </c>
      <c r="D33" s="62" t="n">
        <f aca="false">IF(ISBLANK($V$13)," ",$V$13)</f>
        <v>0</v>
      </c>
      <c r="E33" s="62" t="n">
        <f aca="false">IF(ISBLANK($W$13)," ",$W$13)</f>
        <v>3</v>
      </c>
      <c r="F33" s="63"/>
      <c r="G33" s="64"/>
      <c r="H33" s="64"/>
      <c r="I33" s="64"/>
      <c r="J33" s="64"/>
      <c r="K33" s="64"/>
      <c r="L33" s="64"/>
      <c r="M33" s="64"/>
      <c r="N33" s="58"/>
      <c r="O33" s="58"/>
      <c r="P33" s="58"/>
      <c r="Q33" s="58"/>
      <c r="R33" s="58"/>
      <c r="S33" s="65"/>
      <c r="T33" s="65"/>
      <c r="U33" s="65"/>
      <c r="V33" s="65"/>
      <c r="W33" s="65"/>
      <c r="AB33" s="66"/>
      <c r="AC33" s="66"/>
      <c r="AD33" s="66"/>
    </row>
    <row r="34" customFormat="false" ht="15" hidden="false" customHeight="true" outlineLevel="0" collapsed="false">
      <c r="B34" s="60" t="str">
        <f aca="false">R21</f>
        <v>Jun.</v>
      </c>
      <c r="C34" s="61" t="str">
        <f aca="false">IF(R23=0, " ",R22/R23)</f>
        <v> </v>
      </c>
      <c r="D34" s="62" t="n">
        <f aca="false">IF(ISBLANK($V$13)," ",$V$13)</f>
        <v>0</v>
      </c>
      <c r="E34" s="62" t="n">
        <f aca="false">IF(ISBLANK($W$13)," ",$W$13)</f>
        <v>3</v>
      </c>
      <c r="F34" s="63"/>
      <c r="G34" s="64"/>
      <c r="H34" s="64"/>
      <c r="I34" s="64"/>
      <c r="J34" s="64"/>
      <c r="K34" s="64"/>
      <c r="L34" s="64"/>
      <c r="M34" s="64"/>
      <c r="N34" s="58"/>
      <c r="O34" s="58"/>
      <c r="P34" s="58"/>
      <c r="Q34" s="58"/>
      <c r="R34" s="58"/>
      <c r="S34" s="65"/>
      <c r="T34" s="65"/>
      <c r="U34" s="65"/>
      <c r="V34" s="65"/>
      <c r="W34" s="65"/>
      <c r="AB34" s="66"/>
      <c r="AC34" s="66"/>
      <c r="AD34" s="66"/>
    </row>
    <row r="35" customFormat="false" ht="15" hidden="false" customHeight="true" outlineLevel="0" collapsed="false">
      <c r="B35" s="60" t="str">
        <f aca="false">T21</f>
        <v>Jul.</v>
      </c>
      <c r="C35" s="61" t="str">
        <f aca="false">IF(T23=0," ",T22/T23)</f>
        <v> </v>
      </c>
      <c r="D35" s="62" t="n">
        <f aca="false">IF(ISBLANK($V$13)," ",$V$13)</f>
        <v>0</v>
      </c>
      <c r="E35" s="62" t="n">
        <f aca="false">IF(ISBLANK($W$13)," ",$W$13)</f>
        <v>3</v>
      </c>
      <c r="F35" s="63"/>
      <c r="G35" s="64"/>
      <c r="H35" s="64"/>
      <c r="I35" s="64"/>
      <c r="J35" s="64"/>
      <c r="K35" s="64"/>
      <c r="L35" s="64"/>
      <c r="M35" s="64"/>
      <c r="N35" s="58"/>
      <c r="O35" s="58"/>
      <c r="P35" s="58"/>
      <c r="Q35" s="58"/>
      <c r="R35" s="58"/>
      <c r="S35" s="65"/>
      <c r="T35" s="65"/>
      <c r="U35" s="65"/>
      <c r="V35" s="65"/>
      <c r="W35" s="65"/>
      <c r="AB35" s="66"/>
      <c r="AC35" s="66"/>
      <c r="AD35" s="66"/>
    </row>
    <row r="36" customFormat="false" ht="12.75" hidden="false" customHeight="false" outlineLevel="0" collapsed="false">
      <c r="B36" s="60" t="str">
        <f aca="false">V21</f>
        <v>Ago.</v>
      </c>
      <c r="C36" s="61" t="str">
        <f aca="false">IF(V23=0, " ",V22/V23)</f>
        <v> </v>
      </c>
      <c r="D36" s="62" t="n">
        <f aca="false">IF(ISBLANK($V$13)," ",$V$13)</f>
        <v>0</v>
      </c>
      <c r="E36" s="62" t="n">
        <f aca="false">IF(ISBLANK($W$13)," ",$W$13)</f>
        <v>3</v>
      </c>
      <c r="F36" s="63"/>
      <c r="G36" s="64"/>
      <c r="H36" s="64"/>
      <c r="I36" s="64"/>
      <c r="J36" s="64"/>
      <c r="K36" s="64"/>
      <c r="L36" s="64"/>
      <c r="M36" s="64"/>
      <c r="N36" s="58"/>
      <c r="O36" s="58"/>
      <c r="P36" s="58"/>
      <c r="Q36" s="58"/>
      <c r="R36" s="58"/>
      <c r="S36" s="65"/>
      <c r="T36" s="65"/>
      <c r="U36" s="65"/>
      <c r="V36" s="65"/>
      <c r="W36" s="65"/>
      <c r="AB36" s="66"/>
      <c r="AC36" s="66"/>
      <c r="AD36" s="66"/>
    </row>
    <row r="37" customFormat="false" ht="12.75" hidden="false" customHeight="false" outlineLevel="0" collapsed="false">
      <c r="B37" s="60" t="str">
        <f aca="false">W21</f>
        <v>Sep.</v>
      </c>
      <c r="C37" s="61" t="str">
        <f aca="false">IF(W23=0," ",W22/W23)</f>
        <v> </v>
      </c>
      <c r="D37" s="62" t="n">
        <f aca="false">IF(ISBLANK($V$13)," ",$V$13)</f>
        <v>0</v>
      </c>
      <c r="E37" s="62" t="n">
        <f aca="false">IF(ISBLANK($W$13)," ",$W$13)</f>
        <v>3</v>
      </c>
      <c r="F37" s="63"/>
      <c r="G37" s="64"/>
      <c r="H37" s="64"/>
      <c r="I37" s="64"/>
      <c r="J37" s="64"/>
      <c r="K37" s="64"/>
      <c r="L37" s="64"/>
      <c r="M37" s="64"/>
      <c r="N37" s="58"/>
      <c r="O37" s="58"/>
      <c r="P37" s="58"/>
      <c r="Q37" s="58"/>
      <c r="R37" s="58"/>
      <c r="S37" s="65"/>
      <c r="T37" s="65"/>
      <c r="U37" s="65"/>
      <c r="V37" s="65"/>
      <c r="W37" s="65"/>
      <c r="AB37" s="66"/>
      <c r="AC37" s="66"/>
      <c r="AD37" s="66"/>
    </row>
    <row r="38" customFormat="false" ht="12.75" hidden="false" customHeight="true" outlineLevel="0" collapsed="false">
      <c r="B38" s="67" t="s">
        <v>44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 customFormat="false" ht="19.5" hidden="false" customHeight="true" outlineLevel="0" collapsed="false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customFormat="false" ht="19.5" hidden="false" customHeight="true" outlineLevel="0" collapsed="false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customFormat="false" ht="37.5" hidden="false" customHeight="true" outlineLevel="0" collapsed="false">
      <c r="B41" s="69" t="s">
        <v>42</v>
      </c>
      <c r="C41" s="69"/>
      <c r="D41" s="70" t="s">
        <v>45</v>
      </c>
      <c r="E41" s="70"/>
      <c r="F41" s="70"/>
      <c r="G41" s="70"/>
      <c r="H41" s="70"/>
      <c r="I41" s="70"/>
      <c r="J41" s="70"/>
      <c r="K41" s="70"/>
      <c r="L41" s="70"/>
      <c r="M41" s="71" t="s">
        <v>46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 customFormat="false" ht="30" hidden="false" customHeight="true" outlineLevel="0" collapsed="false">
      <c r="B42" s="72" t="str">
        <f aca="false">D21</f>
        <v>Oct.</v>
      </c>
      <c r="C42" s="72"/>
      <c r="D42" s="114" t="s">
        <v>200</v>
      </c>
      <c r="E42" s="114"/>
      <c r="F42" s="114"/>
      <c r="G42" s="114"/>
      <c r="H42" s="114"/>
      <c r="I42" s="114"/>
      <c r="J42" s="114"/>
      <c r="K42" s="114"/>
      <c r="L42" s="114"/>
      <c r="M42" s="115" t="s">
        <v>201</v>
      </c>
      <c r="N42" s="115"/>
      <c r="O42" s="115"/>
      <c r="P42" s="115"/>
      <c r="Q42" s="115"/>
      <c r="R42" s="115"/>
      <c r="S42" s="115"/>
      <c r="T42" s="115"/>
      <c r="U42" s="115"/>
      <c r="V42" s="115"/>
      <c r="W42" s="115"/>
    </row>
    <row r="43" customFormat="false" ht="30" hidden="false" customHeight="true" outlineLevel="0" collapsed="false">
      <c r="B43" s="72" t="str">
        <f aca="false">E21</f>
        <v>Nov.</v>
      </c>
      <c r="C43" s="72"/>
      <c r="D43" s="114" t="s">
        <v>202</v>
      </c>
      <c r="E43" s="114"/>
      <c r="F43" s="114"/>
      <c r="G43" s="114"/>
      <c r="H43" s="114"/>
      <c r="I43" s="114"/>
      <c r="J43" s="114"/>
      <c r="K43" s="114"/>
      <c r="L43" s="114"/>
      <c r="M43" s="115" t="s">
        <v>201</v>
      </c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 customFormat="false" ht="30" hidden="false" customHeight="true" outlineLevel="0" collapsed="false">
      <c r="B44" s="72" t="str">
        <f aca="false">F21</f>
        <v>Dic.</v>
      </c>
      <c r="C44" s="72"/>
      <c r="D44" s="114" t="s">
        <v>203</v>
      </c>
      <c r="E44" s="114"/>
      <c r="F44" s="114"/>
      <c r="G44" s="114"/>
      <c r="H44" s="114"/>
      <c r="I44" s="114"/>
      <c r="J44" s="114"/>
      <c r="K44" s="114"/>
      <c r="L44" s="114"/>
      <c r="M44" s="115" t="s">
        <v>201</v>
      </c>
      <c r="N44" s="115"/>
      <c r="O44" s="115"/>
      <c r="P44" s="115"/>
      <c r="Q44" s="115"/>
      <c r="R44" s="115"/>
      <c r="S44" s="115"/>
      <c r="T44" s="115"/>
      <c r="U44" s="115"/>
      <c r="V44" s="115"/>
      <c r="W44" s="115"/>
    </row>
    <row r="45" s="75" customFormat="true" ht="30" hidden="false" customHeight="true" outlineLevel="0" collapsed="false">
      <c r="B45" s="72" t="str">
        <f aca="false">H21</f>
        <v>Ene.</v>
      </c>
      <c r="C45" s="72"/>
      <c r="D45" s="114" t="s">
        <v>204</v>
      </c>
      <c r="E45" s="114"/>
      <c r="F45" s="114"/>
      <c r="G45" s="114"/>
      <c r="H45" s="114"/>
      <c r="I45" s="114"/>
      <c r="J45" s="114"/>
      <c r="K45" s="114"/>
      <c r="L45" s="114"/>
      <c r="M45" s="115" t="s">
        <v>201</v>
      </c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AA45" s="76"/>
    </row>
    <row r="46" s="75" customFormat="true" ht="30" hidden="false" customHeight="true" outlineLevel="0" collapsed="false">
      <c r="B46" s="72" t="str">
        <f aca="false">K21</f>
        <v>Feb.</v>
      </c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AA46" s="76"/>
    </row>
    <row r="47" s="75" customFormat="true" ht="73.5" hidden="false" customHeight="true" outlineLevel="0" collapsed="false">
      <c r="B47" s="72" t="str">
        <f aca="false">L21</f>
        <v>Mar.</v>
      </c>
      <c r="C47" s="72"/>
      <c r="D47" s="73" t="s">
        <v>205</v>
      </c>
      <c r="E47" s="73"/>
      <c r="F47" s="73"/>
      <c r="G47" s="73"/>
      <c r="H47" s="73"/>
      <c r="I47" s="73"/>
      <c r="J47" s="73"/>
      <c r="K47" s="73"/>
      <c r="L47" s="73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AA47" s="76"/>
    </row>
    <row r="48" s="75" customFormat="true" ht="64.5" hidden="false" customHeight="true" outlineLevel="0" collapsed="false">
      <c r="B48" s="72" t="str">
        <f aca="false">N21</f>
        <v>Abr.</v>
      </c>
      <c r="C48" s="72"/>
      <c r="D48" s="73" t="s">
        <v>206</v>
      </c>
      <c r="E48" s="73"/>
      <c r="F48" s="73"/>
      <c r="G48" s="73"/>
      <c r="H48" s="73"/>
      <c r="I48" s="73"/>
      <c r="J48" s="73"/>
      <c r="K48" s="73"/>
      <c r="L48" s="73"/>
      <c r="M48" s="115" t="s">
        <v>207</v>
      </c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AA48" s="76"/>
    </row>
    <row r="49" s="75" customFormat="true" ht="71.25" hidden="false" customHeight="true" outlineLevel="0" collapsed="false">
      <c r="B49" s="72" t="str">
        <f aca="false">P21</f>
        <v>May.</v>
      </c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AA49" s="76"/>
    </row>
    <row r="50" s="75" customFormat="true" ht="30" hidden="false" customHeight="true" outlineLevel="0" collapsed="false">
      <c r="B50" s="72" t="str">
        <f aca="false">R21</f>
        <v>Jun.</v>
      </c>
      <c r="C50" s="72"/>
      <c r="D50" s="114"/>
      <c r="E50" s="114"/>
      <c r="F50" s="114"/>
      <c r="G50" s="114"/>
      <c r="H50" s="114"/>
      <c r="I50" s="114"/>
      <c r="J50" s="114"/>
      <c r="K50" s="114"/>
      <c r="L50" s="114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AA50" s="76"/>
    </row>
    <row r="51" s="75" customFormat="true" ht="30" hidden="false" customHeight="true" outlineLevel="0" collapsed="false">
      <c r="B51" s="72" t="str">
        <f aca="false">T21</f>
        <v>Jul.</v>
      </c>
      <c r="C51" s="72"/>
      <c r="D51" s="114"/>
      <c r="E51" s="114"/>
      <c r="F51" s="114"/>
      <c r="G51" s="114"/>
      <c r="H51" s="114"/>
      <c r="I51" s="114"/>
      <c r="J51" s="114"/>
      <c r="K51" s="114"/>
      <c r="L51" s="114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AA51" s="76"/>
    </row>
    <row r="52" customFormat="false" ht="30" hidden="false" customHeight="true" outlineLevel="0" collapsed="false">
      <c r="B52" s="72" t="str">
        <f aca="false">V21</f>
        <v>Ago.</v>
      </c>
      <c r="C52" s="72"/>
      <c r="D52" s="114"/>
      <c r="E52" s="114"/>
      <c r="F52" s="114"/>
      <c r="G52" s="114"/>
      <c r="H52" s="114"/>
      <c r="I52" s="114"/>
      <c r="J52" s="114"/>
      <c r="K52" s="114"/>
      <c r="L52" s="114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</row>
    <row r="53" customFormat="false" ht="30" hidden="false" customHeight="true" outlineLevel="0" collapsed="false">
      <c r="B53" s="77" t="str">
        <f aca="false">W21</f>
        <v>Sep.</v>
      </c>
      <c r="C53" s="77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</row>
    <row r="54" customFormat="false" ht="12.75" hidden="false" customHeight="true" outlineLevel="0" collapsed="false">
      <c r="B54" s="78" t="s">
        <v>55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customFormat="false" ht="12.75" hidden="false" customHeight="false" outlineLevel="0" collapsed="false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</row>
    <row r="56" customFormat="false" ht="12.75" hidden="false" customHeight="false" outlineLevel="0" collapsed="false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customFormat="false" ht="12.75" hidden="false" customHeight="false" outlineLevel="0" collapsed="false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customFormat="false" ht="12.75" hidden="false" customHeight="false" outlineLevel="0" collapsed="false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customFormat="false" ht="13.5" hidden="false" customHeight="true" outlineLevel="0" collapsed="false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</row>
    <row r="60" customFormat="false" ht="15" hidden="false" customHeight="true" outlineLevel="0" collapsed="false">
      <c r="B60" s="80"/>
      <c r="C60" s="81"/>
      <c r="D60" s="81"/>
      <c r="E60" s="81"/>
      <c r="F60" s="81"/>
      <c r="G60" s="82"/>
      <c r="H60" s="81"/>
      <c r="I60" s="83"/>
      <c r="J60" s="84"/>
      <c r="K60" s="8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6" t="s">
        <v>56</v>
      </c>
    </row>
    <row r="61" customFormat="false" ht="12.75" hidden="false" customHeight="false" outlineLevel="0" collapsed="false">
      <c r="B61" s="87"/>
    </row>
    <row r="68" customFormat="false" ht="3" hidden="false" customHeight="true" outlineLevel="0" collapsed="false"/>
    <row r="70" customFormat="false" ht="20.25" hidden="false" customHeight="true" outlineLevel="0" collapsed="false"/>
    <row r="71" customFormat="false" ht="15" hidden="true" customHeight="true" outlineLevel="0" collapsed="false"/>
    <row r="72" s="1" customFormat="true" ht="20.25" hidden="true" customHeight="true" outlineLevel="0" collapsed="false"/>
    <row r="73" customFormat="false" ht="12.75" hidden="true" customHeight="false" outlineLevel="0" collapsed="false"/>
    <row r="74" customFormat="false" ht="12.75" hidden="true" customHeight="false" outlineLevel="0" collapsed="false"/>
    <row r="75" customFormat="false" ht="13.5" hidden="true" customHeight="true" outlineLevel="0" collapsed="false"/>
    <row r="76" customFormat="false" ht="12.75" hidden="true" customHeight="false" outlineLevel="0" collapsed="false"/>
    <row r="77" customFormat="false" ht="12.75" hidden="true" customHeight="false" outlineLevel="0" collapsed="false">
      <c r="AE77" s="116"/>
    </row>
    <row r="78" customFormat="false" ht="21" hidden="true" customHeight="true" outlineLevel="0" collapsed="false">
      <c r="B78" s="117"/>
      <c r="C78" s="118"/>
      <c r="D78" s="119" t="s">
        <v>57</v>
      </c>
      <c r="E78" s="119"/>
      <c r="H78" s="116"/>
      <c r="M78" s="118" t="s">
        <v>58</v>
      </c>
      <c r="N78" s="116"/>
      <c r="T78" s="118" t="s">
        <v>59</v>
      </c>
      <c r="Y78" s="118" t="s">
        <v>60</v>
      </c>
      <c r="AC78" s="118" t="s">
        <v>61</v>
      </c>
      <c r="AD78" s="116"/>
      <c r="AE78" s="120"/>
      <c r="AF78" s="120"/>
      <c r="AG78" s="121" t="s">
        <v>62</v>
      </c>
      <c r="AH78" s="121"/>
    </row>
    <row r="79" customFormat="false" ht="20.25" hidden="true" customHeight="true" outlineLevel="0" collapsed="false">
      <c r="B79" s="120"/>
      <c r="C79" s="120"/>
      <c r="D79" s="122" t="s">
        <v>63</v>
      </c>
      <c r="E79" s="122" t="s">
        <v>64</v>
      </c>
      <c r="H79" s="116"/>
      <c r="M79" s="1" t="s">
        <v>65</v>
      </c>
      <c r="N79" s="116"/>
      <c r="T79" s="1" t="s">
        <v>66</v>
      </c>
      <c r="Y79" s="1" t="s">
        <v>67</v>
      </c>
      <c r="AC79" s="116" t="s">
        <v>68</v>
      </c>
      <c r="AD79" s="116"/>
      <c r="AE79" s="123" t="s">
        <v>69</v>
      </c>
      <c r="AF79" s="96" t="s">
        <v>17</v>
      </c>
      <c r="AG79" s="124" t="s">
        <v>70</v>
      </c>
      <c r="AH79" s="124" t="s">
        <v>71</v>
      </c>
      <c r="AI79" s="98" t="s">
        <v>72</v>
      </c>
      <c r="AJ79" s="98" t="s">
        <v>73</v>
      </c>
      <c r="AK79" s="98" t="s">
        <v>74</v>
      </c>
      <c r="AL79" s="98" t="s">
        <v>75</v>
      </c>
      <c r="AM79" s="124" t="s">
        <v>76</v>
      </c>
      <c r="AN79" s="124" t="s">
        <v>77</v>
      </c>
      <c r="AO79" s="98" t="s">
        <v>78</v>
      </c>
      <c r="AP79" s="98" t="s">
        <v>79</v>
      </c>
      <c r="AQ79" s="98" t="s">
        <v>80</v>
      </c>
      <c r="AR79" s="98" t="s">
        <v>81</v>
      </c>
      <c r="AS79" s="116"/>
      <c r="AT79" s="116"/>
    </row>
    <row r="80" customFormat="false" ht="31.5" hidden="true" customHeight="true" outlineLevel="0" collapsed="false">
      <c r="B80" s="125" t="s">
        <v>3</v>
      </c>
      <c r="C80" s="126" t="s">
        <v>82</v>
      </c>
      <c r="D80" s="126" t="s">
        <v>83</v>
      </c>
      <c r="E80" s="126" t="s">
        <v>84</v>
      </c>
      <c r="H80" s="116"/>
      <c r="M80" s="1" t="s">
        <v>85</v>
      </c>
      <c r="N80" s="116"/>
      <c r="T80" s="1" t="s">
        <v>86</v>
      </c>
      <c r="Y80" s="1" t="s">
        <v>87</v>
      </c>
      <c r="AC80" s="116" t="s">
        <v>88</v>
      </c>
      <c r="AD80" s="116"/>
      <c r="AE80" s="123"/>
      <c r="AF80" s="96" t="s">
        <v>89</v>
      </c>
      <c r="AG80" s="124" t="s">
        <v>71</v>
      </c>
      <c r="AH80" s="124" t="s">
        <v>73</v>
      </c>
      <c r="AI80" s="98" t="s">
        <v>75</v>
      </c>
      <c r="AJ80" s="98" t="s">
        <v>77</v>
      </c>
      <c r="AK80" s="98" t="s">
        <v>79</v>
      </c>
      <c r="AL80" s="98" t="s">
        <v>81</v>
      </c>
      <c r="AM80" s="98" t="s">
        <v>90</v>
      </c>
      <c r="AN80" s="98" t="s">
        <v>90</v>
      </c>
      <c r="AO80" s="98" t="s">
        <v>90</v>
      </c>
      <c r="AP80" s="98" t="s">
        <v>90</v>
      </c>
      <c r="AQ80" s="98" t="s">
        <v>90</v>
      </c>
      <c r="AR80" s="98" t="s">
        <v>90</v>
      </c>
      <c r="AS80" s="116"/>
      <c r="AT80" s="116"/>
    </row>
    <row r="81" customFormat="false" ht="21.75" hidden="true" customHeight="true" outlineLevel="0" collapsed="false">
      <c r="B81" s="125"/>
      <c r="C81" s="126" t="s">
        <v>5</v>
      </c>
      <c r="D81" s="126" t="s">
        <v>91</v>
      </c>
      <c r="E81" s="126" t="s">
        <v>92</v>
      </c>
      <c r="H81" s="116"/>
      <c r="M81" s="1" t="s">
        <v>93</v>
      </c>
      <c r="N81" s="116"/>
      <c r="T81" s="1" t="s">
        <v>94</v>
      </c>
      <c r="Y81" s="1" t="s">
        <v>95</v>
      </c>
      <c r="AC81" s="116" t="s">
        <v>96</v>
      </c>
      <c r="AD81" s="116"/>
      <c r="AE81" s="123"/>
      <c r="AF81" s="96" t="s">
        <v>97</v>
      </c>
      <c r="AG81" s="124" t="s">
        <v>72</v>
      </c>
      <c r="AH81" s="124" t="s">
        <v>75</v>
      </c>
      <c r="AI81" s="98" t="s">
        <v>78</v>
      </c>
      <c r="AJ81" s="98" t="s">
        <v>81</v>
      </c>
      <c r="AK81" s="98" t="s">
        <v>90</v>
      </c>
      <c r="AL81" s="98" t="s">
        <v>90</v>
      </c>
      <c r="AM81" s="98" t="s">
        <v>90</v>
      </c>
      <c r="AN81" s="98" t="s">
        <v>90</v>
      </c>
      <c r="AO81" s="98" t="s">
        <v>90</v>
      </c>
      <c r="AP81" s="98" t="s">
        <v>90</v>
      </c>
      <c r="AQ81" s="98" t="s">
        <v>90</v>
      </c>
      <c r="AR81" s="98" t="s">
        <v>90</v>
      </c>
      <c r="AS81" s="116"/>
      <c r="AT81" s="116"/>
    </row>
    <row r="82" customFormat="false" ht="22.5" hidden="true" customHeight="true" outlineLevel="0" collapsed="false">
      <c r="B82" s="125"/>
      <c r="C82" s="126" t="s">
        <v>98</v>
      </c>
      <c r="D82" s="126" t="s">
        <v>91</v>
      </c>
      <c r="E82" s="126" t="s">
        <v>99</v>
      </c>
      <c r="H82" s="116"/>
      <c r="M82" s="1" t="s">
        <v>28</v>
      </c>
      <c r="N82" s="116"/>
      <c r="T82" s="1" t="s">
        <v>100</v>
      </c>
      <c r="Y82" s="1" t="s">
        <v>101</v>
      </c>
      <c r="AC82" s="116" t="s">
        <v>102</v>
      </c>
      <c r="AD82" s="116"/>
      <c r="AE82" s="123"/>
      <c r="AF82" s="96" t="s">
        <v>103</v>
      </c>
      <c r="AG82" s="98" t="s">
        <v>73</v>
      </c>
      <c r="AH82" s="98" t="s">
        <v>77</v>
      </c>
      <c r="AI82" s="98" t="s">
        <v>81</v>
      </c>
      <c r="AJ82" s="98" t="s">
        <v>90</v>
      </c>
      <c r="AK82" s="98" t="s">
        <v>90</v>
      </c>
      <c r="AL82" s="98" t="s">
        <v>90</v>
      </c>
      <c r="AM82" s="98" t="s">
        <v>90</v>
      </c>
      <c r="AN82" s="98" t="s">
        <v>90</v>
      </c>
      <c r="AO82" s="98" t="s">
        <v>90</v>
      </c>
      <c r="AP82" s="98" t="s">
        <v>90</v>
      </c>
      <c r="AQ82" s="98" t="s">
        <v>90</v>
      </c>
      <c r="AR82" s="98" t="s">
        <v>90</v>
      </c>
      <c r="AS82" s="116"/>
      <c r="AT82" s="116"/>
    </row>
    <row r="83" customFormat="false" ht="15" hidden="true" customHeight="true" outlineLevel="0" collapsed="false">
      <c r="B83" s="127"/>
      <c r="H83" s="116"/>
      <c r="N83" s="116"/>
      <c r="T83" s="1" t="s">
        <v>104</v>
      </c>
      <c r="Y83" s="1" t="s">
        <v>105</v>
      </c>
      <c r="AC83" s="116" t="s">
        <v>106</v>
      </c>
      <c r="AD83" s="116"/>
      <c r="AE83" s="123"/>
      <c r="AF83" s="96" t="s">
        <v>107</v>
      </c>
      <c r="AG83" s="98" t="s">
        <v>75</v>
      </c>
      <c r="AH83" s="98" t="s">
        <v>81</v>
      </c>
      <c r="AI83" s="98" t="s">
        <v>90</v>
      </c>
      <c r="AJ83" s="98" t="s">
        <v>90</v>
      </c>
      <c r="AK83" s="98" t="s">
        <v>90</v>
      </c>
      <c r="AL83" s="98" t="s">
        <v>90</v>
      </c>
      <c r="AM83" s="98" t="s">
        <v>90</v>
      </c>
      <c r="AN83" s="98" t="s">
        <v>90</v>
      </c>
      <c r="AO83" s="98" t="s">
        <v>90</v>
      </c>
      <c r="AP83" s="98" t="s">
        <v>90</v>
      </c>
      <c r="AQ83" s="98" t="s">
        <v>90</v>
      </c>
      <c r="AR83" s="98" t="s">
        <v>90</v>
      </c>
      <c r="AS83" s="116"/>
      <c r="AT83" s="116"/>
    </row>
    <row r="84" customFormat="false" ht="15" hidden="true" customHeight="true" outlineLevel="0" collapsed="false">
      <c r="B84" s="128" t="s">
        <v>108</v>
      </c>
      <c r="C84" s="129" t="s">
        <v>109</v>
      </c>
      <c r="D84" s="104"/>
      <c r="E84" s="104"/>
      <c r="F84" s="104"/>
      <c r="G84" s="104"/>
      <c r="H84" s="104"/>
      <c r="I84" s="104"/>
      <c r="J84" s="104"/>
      <c r="K84" s="104"/>
      <c r="L84" s="104"/>
      <c r="M84" s="130"/>
      <c r="N84" s="104"/>
      <c r="O84" s="104"/>
      <c r="P84" s="104"/>
      <c r="T84" s="1" t="s">
        <v>110</v>
      </c>
      <c r="Y84" s="1" t="s">
        <v>111</v>
      </c>
      <c r="AC84" s="116" t="s">
        <v>112</v>
      </c>
      <c r="AD84" s="116"/>
      <c r="AF84" s="96" t="s">
        <v>113</v>
      </c>
      <c r="AG84" s="124" t="s">
        <v>70</v>
      </c>
      <c r="AH84" s="124" t="s">
        <v>71</v>
      </c>
      <c r="AI84" s="98" t="s">
        <v>72</v>
      </c>
      <c r="AJ84" s="98" t="s">
        <v>73</v>
      </c>
      <c r="AK84" s="98" t="s">
        <v>74</v>
      </c>
      <c r="AL84" s="98" t="s">
        <v>75</v>
      </c>
      <c r="AM84" s="124" t="s">
        <v>76</v>
      </c>
      <c r="AN84" s="124" t="s">
        <v>77</v>
      </c>
      <c r="AO84" s="98" t="s">
        <v>78</v>
      </c>
      <c r="AP84" s="98" t="s">
        <v>79</v>
      </c>
      <c r="AQ84" s="98" t="s">
        <v>80</v>
      </c>
      <c r="AR84" s="98" t="s">
        <v>81</v>
      </c>
      <c r="AS84" s="116"/>
      <c r="AT84" s="116"/>
    </row>
    <row r="85" customFormat="false" ht="12.75" hidden="true" customHeight="false" outlineLevel="0" collapsed="false">
      <c r="B85" s="106" t="n">
        <v>1</v>
      </c>
      <c r="C85" s="1" t="s">
        <v>114</v>
      </c>
      <c r="T85" s="1" t="s">
        <v>115</v>
      </c>
      <c r="Y85" s="1" t="s">
        <v>116</v>
      </c>
      <c r="AC85" s="116" t="s">
        <v>117</v>
      </c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</row>
    <row r="86" customFormat="false" ht="12.75" hidden="true" customHeight="false" outlineLevel="0" collapsed="false">
      <c r="B86" s="106" t="n">
        <v>2</v>
      </c>
      <c r="C86" s="1" t="s">
        <v>118</v>
      </c>
      <c r="T86" s="1" t="s">
        <v>119</v>
      </c>
      <c r="Y86" s="1" t="s">
        <v>120</v>
      </c>
      <c r="AC86" s="116" t="s">
        <v>121</v>
      </c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</row>
    <row r="87" customFormat="false" ht="12.75" hidden="true" customHeight="false" outlineLevel="0" collapsed="false">
      <c r="B87" s="106" t="n">
        <v>3</v>
      </c>
      <c r="C87" s="1" t="s">
        <v>122</v>
      </c>
      <c r="T87" s="1" t="s">
        <v>123</v>
      </c>
      <c r="Y87" s="1" t="s">
        <v>124</v>
      </c>
      <c r="AC87" s="116" t="s">
        <v>125</v>
      </c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</row>
    <row r="88" customFormat="false" ht="12.75" hidden="true" customHeight="false" outlineLevel="0" collapsed="false">
      <c r="B88" s="106" t="n">
        <v>4</v>
      </c>
      <c r="C88" s="1" t="s">
        <v>126</v>
      </c>
      <c r="T88" s="1" t="s">
        <v>127</v>
      </c>
      <c r="Y88" s="1" t="s">
        <v>128</v>
      </c>
      <c r="AC88" s="116" t="s">
        <v>129</v>
      </c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</row>
    <row r="89" customFormat="false" ht="12.75" hidden="true" customHeight="false" outlineLevel="0" collapsed="false">
      <c r="B89" s="106" t="n">
        <v>5</v>
      </c>
      <c r="C89" s="1" t="s">
        <v>130</v>
      </c>
      <c r="T89" s="1" t="s">
        <v>131</v>
      </c>
      <c r="Y89" s="1" t="s">
        <v>132</v>
      </c>
      <c r="AC89" s="116" t="s">
        <v>133</v>
      </c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</row>
    <row r="90" customFormat="false" ht="12.75" hidden="true" customHeight="false" outlineLevel="0" collapsed="false">
      <c r="B90" s="106" t="n">
        <v>6</v>
      </c>
      <c r="C90" s="1" t="s">
        <v>134</v>
      </c>
      <c r="T90" s="1" t="s">
        <v>135</v>
      </c>
      <c r="Y90" s="1" t="s">
        <v>136</v>
      </c>
      <c r="AC90" s="116" t="s">
        <v>137</v>
      </c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 customFormat="false" ht="12.75" hidden="true" customHeight="false" outlineLevel="0" collapsed="false">
      <c r="B91" s="106" t="n">
        <v>7</v>
      </c>
      <c r="C91" s="1" t="s">
        <v>138</v>
      </c>
      <c r="F91" s="107"/>
      <c r="T91" s="1" t="s">
        <v>30</v>
      </c>
      <c r="Y91" s="1" t="s">
        <v>139</v>
      </c>
      <c r="AC91" s="116" t="s">
        <v>140</v>
      </c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customFormat="false" ht="12.75" hidden="true" customHeight="false" outlineLevel="0" collapsed="false">
      <c r="B92" s="108" t="n">
        <v>8</v>
      </c>
      <c r="C92" s="109" t="s">
        <v>141</v>
      </c>
      <c r="D92" s="109"/>
      <c r="E92" s="109"/>
      <c r="F92" s="110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Y92" s="1" t="s">
        <v>142</v>
      </c>
      <c r="AC92" s="116" t="s">
        <v>143</v>
      </c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customFormat="false" ht="12.75" hidden="true" customHeight="false" outlineLevel="0" collapsed="false">
      <c r="G93" s="107"/>
      <c r="Y93" s="1" t="s">
        <v>144</v>
      </c>
      <c r="AC93" s="116" t="s">
        <v>34</v>
      </c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</row>
    <row r="94" customFormat="false" ht="12.75" hidden="true" customHeight="false" outlineLevel="0" collapsed="false">
      <c r="G94" s="107"/>
      <c r="Y94" s="1" t="s">
        <v>145</v>
      </c>
      <c r="AC94" s="116" t="s">
        <v>146</v>
      </c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</row>
    <row r="95" customFormat="false" ht="12.75" hidden="true" customHeight="false" outlineLevel="0" collapsed="false">
      <c r="G95" s="107"/>
      <c r="Y95" s="1" t="s">
        <v>147</v>
      </c>
      <c r="AC95" s="116" t="s">
        <v>148</v>
      </c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</row>
    <row r="96" customFormat="false" ht="12.75" hidden="true" customHeight="false" outlineLevel="0" collapsed="false">
      <c r="G96" s="107"/>
      <c r="Y96" s="1" t="s">
        <v>149</v>
      </c>
      <c r="AC96" s="116" t="s">
        <v>150</v>
      </c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</row>
    <row r="97" customFormat="false" ht="12.75" hidden="true" customHeight="false" outlineLevel="0" collapsed="false">
      <c r="G97" s="107"/>
      <c r="Y97" s="1" t="s">
        <v>32</v>
      </c>
      <c r="AC97" s="116" t="s">
        <v>151</v>
      </c>
      <c r="AD97" s="116"/>
    </row>
    <row r="98" customFormat="false" ht="12.75" hidden="true" customHeight="false" outlineLevel="0" collapsed="false">
      <c r="G98" s="107"/>
      <c r="AC98" s="116" t="s">
        <v>152</v>
      </c>
      <c r="AD98" s="116"/>
    </row>
    <row r="99" customFormat="false" ht="12.75" hidden="true" customHeight="false" outlineLevel="0" collapsed="false">
      <c r="G99" s="2"/>
      <c r="AC99" s="116" t="s">
        <v>153</v>
      </c>
      <c r="AD99" s="116"/>
    </row>
    <row r="100" customFormat="false" ht="12.75" hidden="true" customHeight="false" outlineLevel="0" collapsed="false">
      <c r="G100" s="2"/>
      <c r="AC100" s="116" t="s">
        <v>154</v>
      </c>
      <c r="AD100" s="116"/>
    </row>
    <row r="101" customFormat="false" ht="12.75" hidden="true" customHeight="false" outlineLevel="0" collapsed="false">
      <c r="G101" s="2"/>
      <c r="AC101" s="116" t="s">
        <v>155</v>
      </c>
      <c r="AD101" s="116"/>
    </row>
    <row r="102" customFormat="false" ht="12.75" hidden="true" customHeight="false" outlineLevel="0" collapsed="false">
      <c r="G102" s="2"/>
      <c r="AC102" s="116" t="s">
        <v>156</v>
      </c>
      <c r="AD102" s="116"/>
    </row>
    <row r="103" customFormat="false" ht="12.75" hidden="true" customHeight="false" outlineLevel="0" collapsed="false">
      <c r="G103" s="2"/>
      <c r="AC103" s="116" t="s">
        <v>157</v>
      </c>
      <c r="AD103" s="116"/>
    </row>
    <row r="104" customFormat="false" ht="12.75" hidden="true" customHeight="false" outlineLevel="0" collapsed="false">
      <c r="G104" s="2"/>
      <c r="AC104" s="116"/>
      <c r="AD104" s="116"/>
    </row>
    <row r="105" customFormat="false" ht="12.75" hidden="true" customHeight="false" outlineLevel="0" collapsed="false"/>
    <row r="106" customFormat="false" ht="12.75" hidden="true" customHeight="false" outlineLevel="0" collapsed="false"/>
    <row r="107" customFormat="false" ht="12.75" hidden="true" customHeight="false" outlineLevel="0" collapsed="false"/>
    <row r="108" customFormat="false" ht="12.75" hidden="true" customHeight="false" outlineLevel="0" collapsed="false"/>
    <row r="109" customFormat="false" ht="12.75" hidden="true" customHeight="false" outlineLevel="0" collapsed="false"/>
    <row r="110" customFormat="false" ht="12.75" hidden="true" customHeight="false" outlineLevel="0" collapsed="false"/>
    <row r="111" customFormat="false" ht="12.75" hidden="true" customHeight="false" outlineLevel="0" collapsed="false"/>
    <row r="112" customFormat="false" ht="12.75" hidden="true" customHeight="false" outlineLevel="0" collapsed="false"/>
    <row r="113" customFormat="false" ht="12.75" hidden="true" customHeight="false" outlineLevel="0" collapsed="false"/>
    <row r="114" customFormat="false" ht="12.75" hidden="true" customHeight="false" outlineLevel="0" collapsed="false"/>
    <row r="115" customFormat="false" ht="12.75" hidden="true" customHeight="false" outlineLevel="0" collapsed="false"/>
    <row r="116" customFormat="false" ht="12.75" hidden="true" customHeight="false" outlineLevel="0" collapsed="false"/>
    <row r="117" customFormat="false" ht="12.75" hidden="true" customHeight="false" outlineLevel="0" collapsed="false"/>
    <row r="118" customFormat="false" ht="12.75" hidden="true" customHeight="false" outlineLevel="0" collapsed="false"/>
    <row r="119" customFormat="false" ht="12.75" hidden="true" customHeight="false" outlineLevel="0" collapsed="false"/>
    <row r="120" customFormat="false" ht="12.75" hidden="true" customHeight="false" outlineLevel="0" collapsed="false"/>
    <row r="251" customFormat="false" ht="12.75" hidden="false" customHeight="false" outlineLevel="0" collapsed="false">
      <c r="A251" s="106" t="s">
        <v>158</v>
      </c>
    </row>
    <row r="253" customFormat="false" ht="12.75" hidden="false" customHeight="false" outlineLevel="0" collapsed="false">
      <c r="F253" s="2" t="s">
        <v>159</v>
      </c>
      <c r="P253" s="33" t="s">
        <v>160</v>
      </c>
      <c r="Q253" s="33" t="s">
        <v>161</v>
      </c>
    </row>
    <row r="254" customFormat="false" ht="15.75" hidden="false" customHeight="true" outlineLevel="0" collapsed="false">
      <c r="F254" s="2" t="s">
        <v>162</v>
      </c>
      <c r="O254" s="111"/>
      <c r="P254" s="33"/>
      <c r="Q254" s="33" t="n">
        <v>5</v>
      </c>
    </row>
    <row r="255" customFormat="false" ht="15.75" hidden="false" customHeight="true" outlineLevel="0" collapsed="false">
      <c r="F255" s="2" t="s">
        <v>163</v>
      </c>
      <c r="O255" s="112"/>
      <c r="P255" s="33" t="n">
        <v>5</v>
      </c>
      <c r="Q255" s="33" t="n">
        <v>10</v>
      </c>
    </row>
    <row r="256" customFormat="false" ht="15.75" hidden="false" customHeight="true" outlineLevel="0" collapsed="false">
      <c r="F256" s="2" t="s">
        <v>164</v>
      </c>
      <c r="O256" s="113"/>
      <c r="P256" s="33" t="n">
        <v>10</v>
      </c>
      <c r="Q256" s="33" t="n">
        <v>40</v>
      </c>
    </row>
    <row r="257" customFormat="false" ht="15.75" hidden="false" customHeight="true" outlineLevel="0" collapsed="false">
      <c r="F257" s="2" t="s">
        <v>165</v>
      </c>
      <c r="O257" s="112"/>
      <c r="P257" s="33" t="n">
        <v>40</v>
      </c>
      <c r="Q257" s="33" t="n">
        <v>50</v>
      </c>
    </row>
    <row r="258" customFormat="false" ht="15.75" hidden="false" customHeight="true" outlineLevel="0" collapsed="false">
      <c r="F258" s="2" t="s">
        <v>166</v>
      </c>
      <c r="O258" s="111"/>
      <c r="P258" s="33" t="n">
        <v>50</v>
      </c>
      <c r="Q258" s="33"/>
    </row>
    <row r="259" customFormat="false" ht="12.75" hidden="false" customHeight="false" outlineLevel="0" collapsed="false">
      <c r="F259" s="2" t="s">
        <v>167</v>
      </c>
    </row>
    <row r="260" customFormat="false" ht="12.75" hidden="false" customHeight="false" outlineLevel="0" collapsed="false">
      <c r="F260" s="2" t="s">
        <v>168</v>
      </c>
    </row>
    <row r="261" customFormat="false" ht="12.75" hidden="false" customHeight="false" outlineLevel="0" collapsed="false">
      <c r="F261" s="2" t="s">
        <v>169</v>
      </c>
    </row>
    <row r="262" customFormat="false" ht="12.75" hidden="false" customHeight="false" outlineLevel="0" collapsed="false">
      <c r="F262" s="2" t="s">
        <v>170</v>
      </c>
    </row>
    <row r="263" customFormat="false" ht="12.75" hidden="false" customHeight="false" outlineLevel="0" collapsed="false">
      <c r="F263" s="2" t="s">
        <v>171</v>
      </c>
    </row>
    <row r="264" customFormat="false" ht="12.75" hidden="false" customHeight="false" outlineLevel="0" collapsed="false">
      <c r="F264" s="2" t="s">
        <v>172</v>
      </c>
    </row>
    <row r="265" customFormat="false" ht="12.75" hidden="false" customHeight="false" outlineLevel="0" collapsed="false">
      <c r="F265" s="2" t="s">
        <v>173</v>
      </c>
    </row>
    <row r="266" customFormat="false" ht="12.75" hidden="false" customHeight="false" outlineLevel="0" collapsed="false">
      <c r="F266" s="2" t="s">
        <v>174</v>
      </c>
    </row>
    <row r="267" customFormat="false" ht="12.75" hidden="false" customHeight="false" outlineLevel="0" collapsed="false">
      <c r="F267" s="2" t="s">
        <v>175</v>
      </c>
    </row>
    <row r="268" customFormat="false" ht="12.75" hidden="false" customHeight="false" outlineLevel="0" collapsed="false">
      <c r="F268" s="2" t="s">
        <v>176</v>
      </c>
    </row>
    <row r="269" customFormat="false" ht="12.75" hidden="false" customHeight="false" outlineLevel="0" collapsed="false">
      <c r="F269" s="2" t="s">
        <v>177</v>
      </c>
    </row>
    <row r="270" customFormat="false" ht="12.75" hidden="false" customHeight="false" outlineLevel="0" collapsed="false">
      <c r="F270" s="2" t="s">
        <v>178</v>
      </c>
    </row>
    <row r="271" customFormat="false" ht="12.75" hidden="false" customHeight="false" outlineLevel="0" collapsed="false">
      <c r="F271" s="2" t="s">
        <v>179</v>
      </c>
    </row>
    <row r="272" customFormat="false" ht="12.75" hidden="false" customHeight="false" outlineLevel="0" collapsed="false">
      <c r="F272" s="2" t="s">
        <v>180</v>
      </c>
    </row>
    <row r="273" customFormat="false" ht="12.75" hidden="false" customHeight="false" outlineLevel="0" collapsed="false">
      <c r="F273" s="2" t="s">
        <v>127</v>
      </c>
    </row>
    <row r="274" customFormat="false" ht="12.75" hidden="false" customHeight="false" outlineLevel="0" collapsed="false">
      <c r="F274" s="2" t="s">
        <v>181</v>
      </c>
    </row>
    <row r="275" customFormat="false" ht="12.75" hidden="false" customHeight="false" outlineLevel="0" collapsed="false">
      <c r="F275" s="2" t="s">
        <v>182</v>
      </c>
    </row>
    <row r="276" customFormat="false" ht="12.75" hidden="false" customHeight="false" outlineLevel="0" collapsed="false">
      <c r="F276" s="2" t="s">
        <v>183</v>
      </c>
    </row>
    <row r="277" customFormat="false" ht="12.75" hidden="false" customHeight="false" outlineLevel="0" collapsed="false">
      <c r="F277" s="2" t="s">
        <v>184</v>
      </c>
    </row>
    <row r="278" customFormat="false" ht="12.75" hidden="false" customHeight="false" outlineLevel="0" collapsed="false">
      <c r="F278" s="2" t="s">
        <v>185</v>
      </c>
    </row>
    <row r="279" customFormat="false" ht="12.75" hidden="false" customHeight="false" outlineLevel="0" collapsed="false">
      <c r="F279" s="2" t="s">
        <v>186</v>
      </c>
    </row>
    <row r="280" customFormat="false" ht="12.75" hidden="false" customHeight="false" outlineLevel="0" collapsed="false">
      <c r="F280" s="2" t="s">
        <v>6</v>
      </c>
    </row>
    <row r="281" customFormat="false" ht="12.75" hidden="false" customHeight="false" outlineLevel="0" collapsed="false">
      <c r="F281" s="2" t="s">
        <v>187</v>
      </c>
    </row>
    <row r="282" customFormat="false" ht="12.75" hidden="false" customHeight="false" outlineLevel="0" collapsed="false">
      <c r="F282" s="1" t="s">
        <v>188</v>
      </c>
    </row>
  </sheetData>
  <sheetProtection sheet="true" password="c5ff" objects="true" scenarios="true" formatRows="false" autoFilter="false"/>
  <mergeCells count="154">
    <mergeCell ref="T2:W2"/>
    <mergeCell ref="B3:B5"/>
    <mergeCell ref="C3:E3"/>
    <mergeCell ref="F3:Q5"/>
    <mergeCell ref="R3:W3"/>
    <mergeCell ref="C4:E5"/>
    <mergeCell ref="R4:W5"/>
    <mergeCell ref="B6:W6"/>
    <mergeCell ref="B7:W7"/>
    <mergeCell ref="B8:W8"/>
    <mergeCell ref="B9:W9"/>
    <mergeCell ref="B10:W10"/>
    <mergeCell ref="B11:C11"/>
    <mergeCell ref="D11:R11"/>
    <mergeCell ref="S11:W11"/>
    <mergeCell ref="B12:C12"/>
    <mergeCell ref="D12:F12"/>
    <mergeCell ref="G12:J12"/>
    <mergeCell ref="K12:M12"/>
    <mergeCell ref="N12:O12"/>
    <mergeCell ref="P12:R12"/>
    <mergeCell ref="S12:U12"/>
    <mergeCell ref="B13:C15"/>
    <mergeCell ref="D13:R15"/>
    <mergeCell ref="S13:U13"/>
    <mergeCell ref="B16:C16"/>
    <mergeCell ref="D16:R16"/>
    <mergeCell ref="S16:U16"/>
    <mergeCell ref="V16:W16"/>
    <mergeCell ref="B17:W17"/>
    <mergeCell ref="B18:C18"/>
    <mergeCell ref="D18:H18"/>
    <mergeCell ref="I18:L18"/>
    <mergeCell ref="M18:P18"/>
    <mergeCell ref="Q18:S18"/>
    <mergeCell ref="T18:W18"/>
    <mergeCell ref="B19:C19"/>
    <mergeCell ref="D19:H19"/>
    <mergeCell ref="I19:L19"/>
    <mergeCell ref="M19:P19"/>
    <mergeCell ref="Q19:S19"/>
    <mergeCell ref="T19:W19"/>
    <mergeCell ref="B20:W20"/>
    <mergeCell ref="B21:C21"/>
    <mergeCell ref="F21:G21"/>
    <mergeCell ref="H21:J21"/>
    <mergeCell ref="L21:M21"/>
    <mergeCell ref="N21:O21"/>
    <mergeCell ref="P21:Q21"/>
    <mergeCell ref="R21:S21"/>
    <mergeCell ref="T21:U21"/>
    <mergeCell ref="B22:C22"/>
    <mergeCell ref="F22:G22"/>
    <mergeCell ref="H22:J22"/>
    <mergeCell ref="L22:M22"/>
    <mergeCell ref="N22:O22"/>
    <mergeCell ref="P22:Q22"/>
    <mergeCell ref="R22:S22"/>
    <mergeCell ref="T22:U22"/>
    <mergeCell ref="B23:C23"/>
    <mergeCell ref="F23:G23"/>
    <mergeCell ref="H23:J23"/>
    <mergeCell ref="L23:M23"/>
    <mergeCell ref="N23:O23"/>
    <mergeCell ref="P23:Q23"/>
    <mergeCell ref="R23:S23"/>
    <mergeCell ref="T23:U23"/>
    <mergeCell ref="B24:W24"/>
    <mergeCell ref="G25:M25"/>
    <mergeCell ref="N25:O26"/>
    <mergeCell ref="P25:R26"/>
    <mergeCell ref="S25:W25"/>
    <mergeCell ref="G26:M26"/>
    <mergeCell ref="S26:W37"/>
    <mergeCell ref="G27:M27"/>
    <mergeCell ref="N27:O27"/>
    <mergeCell ref="P27:R27"/>
    <mergeCell ref="G28:M28"/>
    <mergeCell ref="N28:O28"/>
    <mergeCell ref="P28:R28"/>
    <mergeCell ref="G29:M29"/>
    <mergeCell ref="N29:O29"/>
    <mergeCell ref="P29:R29"/>
    <mergeCell ref="G30:M30"/>
    <mergeCell ref="N30:O30"/>
    <mergeCell ref="P30:R30"/>
    <mergeCell ref="G31:M31"/>
    <mergeCell ref="N31:O31"/>
    <mergeCell ref="P31:R31"/>
    <mergeCell ref="G32:M32"/>
    <mergeCell ref="N32:O32"/>
    <mergeCell ref="P32:R32"/>
    <mergeCell ref="G33:M33"/>
    <mergeCell ref="N33:O33"/>
    <mergeCell ref="P33:R33"/>
    <mergeCell ref="G34:M34"/>
    <mergeCell ref="N34:O34"/>
    <mergeCell ref="P34:R34"/>
    <mergeCell ref="G35:M35"/>
    <mergeCell ref="N35:O35"/>
    <mergeCell ref="P35:R35"/>
    <mergeCell ref="G36:M36"/>
    <mergeCell ref="N36:O36"/>
    <mergeCell ref="P36:R36"/>
    <mergeCell ref="G37:M37"/>
    <mergeCell ref="N37:O37"/>
    <mergeCell ref="P37:R37"/>
    <mergeCell ref="B38:W39"/>
    <mergeCell ref="B40:W40"/>
    <mergeCell ref="B41:C41"/>
    <mergeCell ref="D41:L41"/>
    <mergeCell ref="M41:W41"/>
    <mergeCell ref="B42:C42"/>
    <mergeCell ref="D42:L42"/>
    <mergeCell ref="M42:W42"/>
    <mergeCell ref="B43:C43"/>
    <mergeCell ref="D43:L43"/>
    <mergeCell ref="M43:W43"/>
    <mergeCell ref="B44:C44"/>
    <mergeCell ref="D44:L44"/>
    <mergeCell ref="M44:W44"/>
    <mergeCell ref="B45:C45"/>
    <mergeCell ref="D45:L45"/>
    <mergeCell ref="M45:W45"/>
    <mergeCell ref="B46:C46"/>
    <mergeCell ref="D46:L46"/>
    <mergeCell ref="M46:W46"/>
    <mergeCell ref="B47:C47"/>
    <mergeCell ref="D47:L47"/>
    <mergeCell ref="M47:W47"/>
    <mergeCell ref="B48:C48"/>
    <mergeCell ref="D48:L48"/>
    <mergeCell ref="M48:W48"/>
    <mergeCell ref="B49:C49"/>
    <mergeCell ref="D49:L49"/>
    <mergeCell ref="M49:W49"/>
    <mergeCell ref="B50:C50"/>
    <mergeCell ref="D50:L50"/>
    <mergeCell ref="M50:W50"/>
    <mergeCell ref="B51:C51"/>
    <mergeCell ref="D51:L51"/>
    <mergeCell ref="M51:W51"/>
    <mergeCell ref="B52:C52"/>
    <mergeCell ref="D52:L52"/>
    <mergeCell ref="M52:W52"/>
    <mergeCell ref="B53:C53"/>
    <mergeCell ref="D53:L53"/>
    <mergeCell ref="M53:W53"/>
    <mergeCell ref="B54:W54"/>
    <mergeCell ref="B55:W59"/>
    <mergeCell ref="D78:E78"/>
    <mergeCell ref="AG78:AH78"/>
    <mergeCell ref="AE79:AE83"/>
    <mergeCell ref="B80:B82"/>
  </mergeCells>
  <conditionalFormatting sqref="C37">
    <cfRule type="expression" priority="2" aboveAverage="0" equalAverage="0" bottom="0" percent="0" rank="0" text="" dxfId="0">
      <formula>OR(ISBLANK($W$22),ISBLANK($W$23))</formula>
    </cfRule>
    <cfRule type="cellIs" priority="3" operator="lessThan" aboveAverage="0" equalAverage="0" bottom="0" percent="0" rank="0" text="" dxfId="1">
      <formula>$V$14</formula>
    </cfRule>
    <cfRule type="cellIs" priority="4" operator="lessThan" aboveAverage="0" equalAverage="0" bottom="0" percent="0" rank="0" text="" dxfId="2">
      <formula>$V$13</formula>
    </cfRule>
    <cfRule type="cellIs" priority="5" operator="between" aboveAverage="0" equalAverage="0" bottom="0" percent="0" rank="0" text="" dxfId="3">
      <formula>$V$13</formula>
      <formula>$W$13</formula>
    </cfRule>
    <cfRule type="cellIs" priority="6" operator="lessThanOrEqual" aboveAverage="0" equalAverage="0" bottom="0" percent="0" rank="0" text="" dxfId="2">
      <formula>$W$14</formula>
    </cfRule>
    <cfRule type="cellIs" priority="7" operator="greaterThan" aboveAverage="0" equalAverage="0" bottom="0" percent="0" rank="0" text="" dxfId="1">
      <formula>$W$14</formula>
    </cfRule>
  </conditionalFormatting>
  <conditionalFormatting sqref="C36">
    <cfRule type="expression" priority="8" aboveAverage="0" equalAverage="0" bottom="0" percent="0" rank="0" text="" dxfId="0">
      <formula>OR(ISBLANK($V$22),ISBLANK($V$23))</formula>
    </cfRule>
    <cfRule type="cellIs" priority="9" operator="lessThan" aboveAverage="0" equalAverage="0" bottom="0" percent="0" rank="0" text="" dxfId="1">
      <formula>$V$14</formula>
    </cfRule>
    <cfRule type="cellIs" priority="10" operator="lessThan" aboveAverage="0" equalAverage="0" bottom="0" percent="0" rank="0" text="" dxfId="2">
      <formula>$V$13</formula>
    </cfRule>
    <cfRule type="cellIs" priority="11" operator="between" aboveAverage="0" equalAverage="0" bottom="0" percent="0" rank="0" text="" dxfId="3">
      <formula>$V$13</formula>
      <formula>$W$13</formula>
    </cfRule>
    <cfRule type="cellIs" priority="12" operator="lessThanOrEqual" aboveAverage="0" equalAverage="0" bottom="0" percent="0" rank="0" text="" dxfId="2">
      <formula>$W$14</formula>
    </cfRule>
    <cfRule type="cellIs" priority="13" operator="greaterThan" aboveAverage="0" equalAverage="0" bottom="0" percent="0" rank="0" text="" dxfId="1">
      <formula>$W$14</formula>
    </cfRule>
  </conditionalFormatting>
  <conditionalFormatting sqref="C35">
    <cfRule type="expression" priority="14" aboveAverage="0" equalAverage="0" bottom="0" percent="0" rank="0" text="" dxfId="0">
      <formula>OR(ISBLANK($T$22),ISBLANK($T$23))</formula>
    </cfRule>
    <cfRule type="cellIs" priority="15" operator="lessThan" aboveAverage="0" equalAverage="0" bottom="0" percent="0" rank="0" text="" dxfId="1">
      <formula>$V$14</formula>
    </cfRule>
    <cfRule type="cellIs" priority="16" operator="lessThan" aboveAverage="0" equalAverage="0" bottom="0" percent="0" rank="0" text="" dxfId="2">
      <formula>$V$13</formula>
    </cfRule>
    <cfRule type="cellIs" priority="17" operator="between" aboveAverage="0" equalAverage="0" bottom="0" percent="0" rank="0" text="" dxfId="3">
      <formula>$V$13</formula>
      <formula>$W$13</formula>
    </cfRule>
    <cfRule type="cellIs" priority="18" operator="lessThanOrEqual" aboveAverage="0" equalAverage="0" bottom="0" percent="0" rank="0" text="" dxfId="2">
      <formula>$W$14</formula>
    </cfRule>
    <cfRule type="cellIs" priority="19" operator="greaterThan" aboveAverage="0" equalAverage="0" bottom="0" percent="0" rank="0" text="" dxfId="1">
      <formula>$W$14</formula>
    </cfRule>
  </conditionalFormatting>
  <conditionalFormatting sqref="C34">
    <cfRule type="expression" priority="20" aboveAverage="0" equalAverage="0" bottom="0" percent="0" rank="0" text="" dxfId="0">
      <formula>OR(ISBLANK($R$22),ISBLANK($R$23))</formula>
    </cfRule>
    <cfRule type="cellIs" priority="21" operator="lessThan" aboveAverage="0" equalAverage="0" bottom="0" percent="0" rank="0" text="" dxfId="1">
      <formula>$V$14</formula>
    </cfRule>
    <cfRule type="cellIs" priority="22" operator="lessThan" aboveAverage="0" equalAverage="0" bottom="0" percent="0" rank="0" text="" dxfId="2">
      <formula>$V$13</formula>
    </cfRule>
    <cfRule type="cellIs" priority="23" operator="between" aboveAverage="0" equalAverage="0" bottom="0" percent="0" rank="0" text="" dxfId="3">
      <formula>$V$13</formula>
      <formula>$W$13</formula>
    </cfRule>
    <cfRule type="cellIs" priority="24" operator="lessThanOrEqual" aboveAverage="0" equalAverage="0" bottom="0" percent="0" rank="0" text="" dxfId="2">
      <formula>$W$14</formula>
    </cfRule>
    <cfRule type="cellIs" priority="25" operator="greaterThan" aboveAverage="0" equalAverage="0" bottom="0" percent="0" rank="0" text="" dxfId="1">
      <formula>$W$14</formula>
    </cfRule>
  </conditionalFormatting>
  <conditionalFormatting sqref="C33">
    <cfRule type="expression" priority="26" aboveAverage="0" equalAverage="0" bottom="0" percent="0" rank="0" text="" dxfId="0">
      <formula>OR(ISBLANK($P$22),ISBLANK($P$23))</formula>
    </cfRule>
    <cfRule type="cellIs" priority="27" operator="lessThan" aboveAverage="0" equalAverage="0" bottom="0" percent="0" rank="0" text="" dxfId="1">
      <formula>$V$14</formula>
    </cfRule>
    <cfRule type="cellIs" priority="28" operator="lessThan" aboveAverage="0" equalAverage="0" bottom="0" percent="0" rank="0" text="" dxfId="2">
      <formula>$V$13</formula>
    </cfRule>
    <cfRule type="cellIs" priority="29" operator="between" aboveAverage="0" equalAverage="0" bottom="0" percent="0" rank="0" text="" dxfId="3">
      <formula>$V$13</formula>
      <formula>$W$13</formula>
    </cfRule>
    <cfRule type="cellIs" priority="30" operator="lessThanOrEqual" aboveAverage="0" equalAverage="0" bottom="0" percent="0" rank="0" text="" dxfId="2">
      <formula>$W$14</formula>
    </cfRule>
    <cfRule type="cellIs" priority="31" operator="greaterThan" aboveAverage="0" equalAverage="0" bottom="0" percent="0" rank="0" text="" dxfId="1">
      <formula>$W$14</formula>
    </cfRule>
  </conditionalFormatting>
  <conditionalFormatting sqref="C32">
    <cfRule type="expression" priority="32" aboveAverage="0" equalAverage="0" bottom="0" percent="0" rank="0" text="" dxfId="0">
      <formula>OR(ISBLANK($N$22),ISBLANK($N$23))</formula>
    </cfRule>
    <cfRule type="cellIs" priority="33" operator="lessThan" aboveAverage="0" equalAverage="0" bottom="0" percent="0" rank="0" text="" dxfId="1">
      <formula>$V$14</formula>
    </cfRule>
    <cfRule type="cellIs" priority="34" operator="lessThan" aboveAverage="0" equalAverage="0" bottom="0" percent="0" rank="0" text="" dxfId="2">
      <formula>$V$13</formula>
    </cfRule>
    <cfRule type="cellIs" priority="35" operator="between" aboveAverage="0" equalAverage="0" bottom="0" percent="0" rank="0" text="" dxfId="3">
      <formula>$V$13</formula>
      <formula>$W$13</formula>
    </cfRule>
    <cfRule type="cellIs" priority="36" operator="lessThanOrEqual" aboveAverage="0" equalAverage="0" bottom="0" percent="0" rank="0" text="" dxfId="2">
      <formula>$W$14</formula>
    </cfRule>
    <cfRule type="cellIs" priority="37" operator="greaterThan" aboveAverage="0" equalAverage="0" bottom="0" percent="0" rank="0" text="" dxfId="1">
      <formula>$W$14</formula>
    </cfRule>
  </conditionalFormatting>
  <conditionalFormatting sqref="C31">
    <cfRule type="expression" priority="38" aboveAverage="0" equalAverage="0" bottom="0" percent="0" rank="0" text="" dxfId="0">
      <formula>OR(ISBLANK($L$22),ISBLANK($L$23))</formula>
    </cfRule>
    <cfRule type="cellIs" priority="39" operator="lessThan" aboveAverage="0" equalAverage="0" bottom="0" percent="0" rank="0" text="" dxfId="1">
      <formula>$V$14</formula>
    </cfRule>
    <cfRule type="cellIs" priority="40" operator="lessThan" aboveAverage="0" equalAverage="0" bottom="0" percent="0" rank="0" text="" dxfId="2">
      <formula>$V$13</formula>
    </cfRule>
    <cfRule type="cellIs" priority="41" operator="between" aboveAverage="0" equalAverage="0" bottom="0" percent="0" rank="0" text="" dxfId="3">
      <formula>$V$13</formula>
      <formula>$W$13</formula>
    </cfRule>
    <cfRule type="cellIs" priority="42" operator="lessThanOrEqual" aboveAverage="0" equalAverage="0" bottom="0" percent="0" rank="0" text="" dxfId="2">
      <formula>$W$14</formula>
    </cfRule>
    <cfRule type="cellIs" priority="43" operator="greaterThan" aboveAverage="0" equalAverage="0" bottom="0" percent="0" rank="0" text="" dxfId="1">
      <formula>$W$14</formula>
    </cfRule>
  </conditionalFormatting>
  <conditionalFormatting sqref="C30">
    <cfRule type="expression" priority="44" aboveAverage="0" equalAverage="0" bottom="0" percent="0" rank="0" text="" dxfId="0">
      <formula>OR(ISBLANK($K$22),ISBLANK($K$23))</formula>
    </cfRule>
    <cfRule type="cellIs" priority="45" operator="lessThan" aboveAverage="0" equalAverage="0" bottom="0" percent="0" rank="0" text="" dxfId="1">
      <formula>$V$14</formula>
    </cfRule>
    <cfRule type="cellIs" priority="46" operator="lessThan" aboveAverage="0" equalAverage="0" bottom="0" percent="0" rank="0" text="" dxfId="2">
      <formula>$V$13</formula>
    </cfRule>
    <cfRule type="cellIs" priority="47" operator="between" aboveAverage="0" equalAverage="0" bottom="0" percent="0" rank="0" text="" dxfId="3">
      <formula>$V$13</formula>
      <formula>$W$13</formula>
    </cfRule>
    <cfRule type="cellIs" priority="48" operator="lessThanOrEqual" aboveAverage="0" equalAverage="0" bottom="0" percent="0" rank="0" text="" dxfId="2">
      <formula>$W$14</formula>
    </cfRule>
    <cfRule type="cellIs" priority="49" operator="greaterThan" aboveAverage="0" equalAverage="0" bottom="0" percent="0" rank="0" text="" dxfId="1">
      <formula>$W$14</formula>
    </cfRule>
  </conditionalFormatting>
  <conditionalFormatting sqref="C29">
    <cfRule type="expression" priority="50" aboveAverage="0" equalAverage="0" bottom="0" percent="0" rank="0" text="" dxfId="0">
      <formula>OR(ISBLANK($H$22),ISBLANK($H$23))</formula>
    </cfRule>
    <cfRule type="cellIs" priority="51" operator="lessThan" aboveAverage="0" equalAverage="0" bottom="0" percent="0" rank="0" text="" dxfId="1">
      <formula>$V$14</formula>
    </cfRule>
    <cfRule type="cellIs" priority="52" operator="lessThan" aboveAverage="0" equalAverage="0" bottom="0" percent="0" rank="0" text="" dxfId="2">
      <formula>$V$13</formula>
    </cfRule>
    <cfRule type="cellIs" priority="53" operator="between" aboveAverage="0" equalAverage="0" bottom="0" percent="0" rank="0" text="" dxfId="3">
      <formula>$V$13</formula>
      <formula>$W$13</formula>
    </cfRule>
    <cfRule type="cellIs" priority="54" operator="lessThanOrEqual" aboveAverage="0" equalAverage="0" bottom="0" percent="0" rank="0" text="" dxfId="2">
      <formula>$W$14</formula>
    </cfRule>
    <cfRule type="cellIs" priority="55" operator="greaterThan" aboveAverage="0" equalAverage="0" bottom="0" percent="0" rank="0" text="" dxfId="1">
      <formula>$W$14</formula>
    </cfRule>
  </conditionalFormatting>
  <conditionalFormatting sqref="C28">
    <cfRule type="expression" priority="56" aboveAverage="0" equalAverage="0" bottom="0" percent="0" rank="0" text="" dxfId="0">
      <formula>OR(ISBLANK($F$22),ISBLANK($F$23))</formula>
    </cfRule>
    <cfRule type="cellIs" priority="57" operator="lessThan" aboveAverage="0" equalAverage="0" bottom="0" percent="0" rank="0" text="" dxfId="1">
      <formula>$V$14</formula>
    </cfRule>
    <cfRule type="cellIs" priority="58" operator="lessThan" aboveAverage="0" equalAverage="0" bottom="0" percent="0" rank="0" text="" dxfId="2">
      <formula>$V$13</formula>
    </cfRule>
    <cfRule type="cellIs" priority="59" operator="between" aboveAverage="0" equalAverage="0" bottom="0" percent="0" rank="0" text="" dxfId="3">
      <formula>$V$13</formula>
      <formula>$W$13</formula>
    </cfRule>
    <cfRule type="cellIs" priority="60" operator="lessThanOrEqual" aboveAverage="0" equalAverage="0" bottom="0" percent="0" rank="0" text="" dxfId="2">
      <formula>$W$14</formula>
    </cfRule>
    <cfRule type="cellIs" priority="61" operator="greaterThan" aboveAverage="0" equalAverage="0" bottom="0" percent="0" rank="0" text="" dxfId="1">
      <formula>$W$14</formula>
    </cfRule>
  </conditionalFormatting>
  <conditionalFormatting sqref="C27">
    <cfRule type="expression" priority="62" aboveAverage="0" equalAverage="0" bottom="0" percent="0" rank="0" text="" dxfId="0">
      <formula>OR(ISBLANK($E$22),ISBLANK($E$23))</formula>
    </cfRule>
    <cfRule type="cellIs" priority="63" operator="lessThan" aboveAverage="0" equalAverage="0" bottom="0" percent="0" rank="0" text="" dxfId="1">
      <formula>$V$14</formula>
    </cfRule>
    <cfRule type="cellIs" priority="64" operator="lessThan" aboveAverage="0" equalAverage="0" bottom="0" percent="0" rank="0" text="" dxfId="2">
      <formula>$V$13</formula>
    </cfRule>
    <cfRule type="cellIs" priority="65" operator="between" aboveAverage="0" equalAverage="0" bottom="0" percent="0" rank="0" text="" dxfId="3">
      <formula>$V$13</formula>
      <formula>$W$13</formula>
    </cfRule>
    <cfRule type="cellIs" priority="66" operator="lessThanOrEqual" aboveAverage="0" equalAverage="0" bottom="0" percent="0" rank="0" text="" dxfId="2">
      <formula>$W$14</formula>
    </cfRule>
    <cfRule type="cellIs" priority="67" operator="greaterThan" aboveAverage="0" equalAverage="0" bottom="0" percent="0" rank="0" text="" dxfId="1">
      <formula>$W$14</formula>
    </cfRule>
  </conditionalFormatting>
  <conditionalFormatting sqref="C26">
    <cfRule type="expression" priority="68" aboveAverage="0" equalAverage="0" bottom="0" percent="0" rank="0" text="" dxfId="0">
      <formula>OR(ISBLANK($D$22),ISBLANK($D$23))</formula>
    </cfRule>
    <cfRule type="cellIs" priority="69" operator="lessThan" aboveAverage="0" equalAverage="0" bottom="0" percent="0" rank="0" text="" dxfId="1">
      <formula>$V$14</formula>
    </cfRule>
    <cfRule type="cellIs" priority="70" operator="lessThan" aboveAverage="0" equalAverage="0" bottom="0" percent="0" rank="0" text="" dxfId="2">
      <formula>$V$13</formula>
    </cfRule>
    <cfRule type="cellIs" priority="71" operator="between" aboveAverage="0" equalAverage="0" bottom="0" percent="0" rank="0" text="" dxfId="3">
      <formula>$V$13</formula>
      <formula>$W$13</formula>
    </cfRule>
    <cfRule type="cellIs" priority="72" operator="lessThanOrEqual" aboveAverage="0" equalAverage="0" bottom="0" percent="0" rank="0" text="" dxfId="2">
      <formula>$W$14</formula>
    </cfRule>
    <cfRule type="cellIs" priority="73" operator="greaterThan" aboveAverage="0" equalAverage="0" bottom="0" percent="0" rank="0" text="" dxfId="1">
      <formula>$W$14</formula>
    </cfRule>
  </conditionalFormatting>
  <conditionalFormatting sqref="O256">
    <cfRule type="cellIs" priority="74" operator="equal" aboveAverage="0" equalAverage="0" bottom="0" percent="0" rank="0" text="" dxfId="4">
      <formula>$K$12</formula>
    </cfRule>
  </conditionalFormatting>
  <dataValidations count="6">
    <dataValidation allowBlank="true" errorStyle="stop" operator="between" showDropDown="false" showErrorMessage="true" showInputMessage="true" sqref="P12:R12" type="list">
      <formula1>$AF$79:$AF$84</formula1>
      <formula2>0</formula2>
    </dataValidation>
    <dataValidation allowBlank="true" errorStyle="stop" operator="between" showDropDown="false" showErrorMessage="true" showInputMessage="true" sqref="D18:H18" type="list">
      <formula1>$M$79:$M$82</formula1>
      <formula2>0</formula2>
    </dataValidation>
    <dataValidation allowBlank="true" errorStyle="stop" operator="between" showDropDown="false" showErrorMessage="true" showInputMessage="true" sqref="R4:W5" type="list">
      <formula1>$C$80:$C$82</formula1>
      <formula2>0</formula2>
    </dataValidation>
    <dataValidation allowBlank="true" errorStyle="stop" operator="between" showDropDown="false" showErrorMessage="true" showInputMessage="true" sqref="M18:P18" type="list">
      <formula1>$T$79:$T$91</formula1>
      <formula2>0</formula2>
    </dataValidation>
    <dataValidation allowBlank="true" errorStyle="stop" operator="between" showDropDown="false" showErrorMessage="true" showInputMessage="true" sqref="T18:W18" type="list">
      <formula1>$Y$79:$Y$97</formula1>
      <formula2>0</formula2>
    </dataValidation>
    <dataValidation allowBlank="true" errorStyle="stop" operator="between" showDropDown="false" showErrorMessage="true" showInputMessage="true" sqref="D19:H19 M19:P19 T19:W19" type="list">
      <formula1>$AC$79:$AC$103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22" activeCellId="0" sqref="E2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9.42"/>
    <col collapsed="false" customWidth="true" hidden="false" outlineLevel="0" max="3" min="3" style="1" width="13.42"/>
    <col collapsed="false" customWidth="true" hidden="false" outlineLevel="0" max="4" min="4" style="1" width="13.57"/>
    <col collapsed="false" customWidth="true" hidden="false" outlineLevel="0" max="5" min="5" style="1" width="14.29"/>
    <col collapsed="false" customWidth="true" hidden="false" outlineLevel="0" max="6" min="6" style="1" width="8.57"/>
    <col collapsed="false" customWidth="true" hidden="false" outlineLevel="0" max="7" min="7" style="1" width="3.71"/>
    <col collapsed="false" customWidth="true" hidden="false" outlineLevel="0" max="8" min="8" style="1" width="3.57"/>
    <col collapsed="false" customWidth="true" hidden="false" outlineLevel="0" max="9" min="9" style="1" width="3"/>
    <col collapsed="false" customWidth="true" hidden="false" outlineLevel="0" max="10" min="10" style="1" width="5.29"/>
    <col collapsed="false" customWidth="true" hidden="false" outlineLevel="0" max="11" min="11" style="1" width="10.29"/>
    <col collapsed="false" customWidth="true" hidden="false" outlineLevel="0" max="12" min="12" style="1" width="3"/>
    <col collapsed="false" customWidth="true" hidden="false" outlineLevel="0" max="13" min="13" style="1" width="6.85"/>
    <col collapsed="false" customWidth="true" hidden="false" outlineLevel="0" max="14" min="14" style="1" width="6.71"/>
    <col collapsed="false" customWidth="true" hidden="false" outlineLevel="0" max="15" min="15" style="1" width="7.42"/>
    <col collapsed="false" customWidth="true" hidden="false" outlineLevel="0" max="16" min="16" style="1" width="7.15"/>
    <col collapsed="false" customWidth="true" hidden="false" outlineLevel="0" max="18" min="17" style="1" width="7"/>
    <col collapsed="false" customWidth="true" hidden="false" outlineLevel="0" max="19" min="19" style="1" width="2.29"/>
    <col collapsed="false" customWidth="true" hidden="false" outlineLevel="0" max="20" min="20" style="1" width="6.71"/>
    <col collapsed="false" customWidth="true" hidden="false" outlineLevel="0" max="21" min="21" style="1" width="3.71"/>
    <col collapsed="false" customWidth="true" hidden="false" outlineLevel="0" max="22" min="22" style="1" width="9.71"/>
    <col collapsed="false" customWidth="true" hidden="false" outlineLevel="0" max="23" min="23" style="1" width="11.14"/>
    <col collapsed="false" customWidth="true" hidden="false" outlineLevel="0" max="24" min="24" style="1" width="2.15"/>
    <col collapsed="false" customWidth="false" hidden="false" outlineLevel="0" max="26" min="25" style="1" width="11.43"/>
    <col collapsed="false" customWidth="false" hidden="false" outlineLevel="0" max="27" min="27" style="2" width="11.43"/>
    <col collapsed="false" customWidth="false" hidden="false" outlineLevel="0" max="32" min="28" style="1" width="11.43"/>
    <col collapsed="false" customWidth="true" hidden="false" outlineLevel="0" max="33" min="33" style="1" width="8.15"/>
    <col collapsed="false" customWidth="true" hidden="false" outlineLevel="0" max="34" min="34" style="1" width="8.86"/>
    <col collapsed="false" customWidth="true" hidden="false" outlineLevel="0" max="35" min="35" style="1" width="6.57"/>
    <col collapsed="false" customWidth="true" hidden="false" outlineLevel="0" max="37" min="36" style="1" width="6.29"/>
    <col collapsed="false" customWidth="true" hidden="false" outlineLevel="0" max="38" min="38" style="1" width="6"/>
    <col collapsed="false" customWidth="true" hidden="false" outlineLevel="0" max="39" min="39" style="1" width="5.57"/>
    <col collapsed="false" customWidth="true" hidden="false" outlineLevel="0" max="40" min="40" style="1" width="6.85"/>
    <col collapsed="false" customWidth="true" hidden="false" outlineLevel="0" max="41" min="41" style="1" width="5.42"/>
    <col collapsed="false" customWidth="true" hidden="false" outlineLevel="0" max="42" min="42" style="1" width="6"/>
    <col collapsed="false" customWidth="true" hidden="false" outlineLevel="0" max="43" min="43" style="1" width="6.57"/>
    <col collapsed="false" customWidth="true" hidden="false" outlineLevel="0" max="44" min="44" style="1" width="6.43"/>
    <col collapsed="false" customWidth="false" hidden="false" outlineLevel="0" max="16384" min="45" style="1" width="11.43"/>
  </cols>
  <sheetData>
    <row r="1" s="2" customFormat="true" ht="13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2" customFormat="true" ht="15.75" hidden="false" customHeight="true" outlineLevel="0" collapsed="false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1"/>
      <c r="Y2" s="1"/>
      <c r="Z2" s="1"/>
    </row>
    <row r="3" s="2" customFormat="true" ht="19.5" hidden="false" customHeight="true" outlineLevel="0" collapsed="false">
      <c r="B3" s="6"/>
      <c r="C3" s="7" t="s">
        <v>1</v>
      </c>
      <c r="D3" s="7"/>
      <c r="E3" s="7"/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3</v>
      </c>
      <c r="S3" s="9"/>
      <c r="T3" s="9"/>
      <c r="U3" s="9"/>
      <c r="V3" s="9"/>
      <c r="W3" s="9"/>
      <c r="X3" s="1"/>
      <c r="Y3" s="1"/>
      <c r="Z3" s="1"/>
    </row>
    <row r="4" s="2" customFormat="true" ht="15" hidden="false" customHeight="true" outlineLevel="0" collapsed="false">
      <c r="B4" s="6"/>
      <c r="C4" s="10" t="s">
        <v>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1" t="s">
        <v>5</v>
      </c>
      <c r="S4" s="11"/>
      <c r="T4" s="11"/>
      <c r="U4" s="11"/>
      <c r="V4" s="11"/>
      <c r="W4" s="11"/>
      <c r="X4" s="1"/>
      <c r="Y4" s="1"/>
      <c r="Z4" s="1"/>
    </row>
    <row r="5" s="2" customFormat="true" ht="11.25" hidden="false" customHeight="true" outlineLevel="0" collapsed="false">
      <c r="B5" s="6"/>
      <c r="C5" s="10"/>
      <c r="D5" s="10"/>
      <c r="E5" s="1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"/>
      <c r="Y5" s="1"/>
      <c r="Z5" s="1"/>
    </row>
    <row r="6" s="2" customFormat="true" ht="19.5" hidden="false" customHeight="true" outlineLevel="0" collapsed="false">
      <c r="B6" s="12" t="str">
        <f aca="false">IF(ISBLANK(R4)," ",VLOOKUP(R4,C80:E82,2,FALSE()))</f>
        <v>PROCESO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"/>
      <c r="Y6" s="1"/>
      <c r="Z6" s="1"/>
    </row>
    <row r="7" s="2" customFormat="true" ht="30" hidden="false" customHeight="true" outlineLevel="0" collapsed="false">
      <c r="B7" s="13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"/>
      <c r="Y7" s="1"/>
      <c r="Z7" s="1"/>
    </row>
    <row r="8" s="2" customFormat="true" ht="18" hidden="false" customHeight="true" outlineLevel="0" collapsed="false">
      <c r="B8" s="12" t="str">
        <f aca="false">IF(ISBLANK(R4)," ",VLOOKUP(R4,C80:E82,3,FALSE()))</f>
        <v>OBJETIVO DEL PROCESO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"/>
      <c r="Y8" s="1"/>
      <c r="Z8" s="1"/>
    </row>
    <row r="9" s="2" customFormat="true" ht="39" hidden="false" customHeight="true" outlineLevel="0" collapsed="false">
      <c r="B9" s="13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"/>
      <c r="Y9" s="1"/>
      <c r="Z9" s="1"/>
    </row>
    <row r="10" s="2" customFormat="true" ht="24.75" hidden="false" customHeight="true" outlineLevel="0" collapsed="false">
      <c r="B10" s="14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"/>
      <c r="Y10" s="1"/>
      <c r="Z10" s="1"/>
    </row>
    <row r="11" s="2" customFormat="true" ht="30" hidden="false" customHeight="true" outlineLevel="0" collapsed="false">
      <c r="B11" s="15" t="s">
        <v>9</v>
      </c>
      <c r="C11" s="15"/>
      <c r="D11" s="16" t="s">
        <v>208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 t="s">
        <v>11</v>
      </c>
      <c r="T11" s="17"/>
      <c r="U11" s="17"/>
      <c r="V11" s="17"/>
      <c r="W11" s="17"/>
      <c r="X11" s="1"/>
      <c r="Y11" s="1"/>
      <c r="Z11" s="1"/>
    </row>
    <row r="12" s="1" customFormat="true" ht="30" hidden="false" customHeight="true" outlineLevel="0" collapsed="false">
      <c r="B12" s="18" t="s">
        <v>12</v>
      </c>
      <c r="C12" s="18"/>
      <c r="D12" s="16" t="s">
        <v>13</v>
      </c>
      <c r="E12" s="16"/>
      <c r="F12" s="16"/>
      <c r="G12" s="19" t="s">
        <v>14</v>
      </c>
      <c r="H12" s="19"/>
      <c r="I12" s="19"/>
      <c r="J12" s="19"/>
      <c r="K12" s="16" t="s">
        <v>209</v>
      </c>
      <c r="L12" s="16"/>
      <c r="M12" s="16"/>
      <c r="N12" s="20" t="s">
        <v>16</v>
      </c>
      <c r="O12" s="20"/>
      <c r="P12" s="16" t="s">
        <v>97</v>
      </c>
      <c r="Q12" s="16"/>
      <c r="R12" s="16"/>
      <c r="S12" s="21"/>
      <c r="T12" s="21"/>
      <c r="U12" s="21"/>
      <c r="V12" s="17" t="s">
        <v>18</v>
      </c>
      <c r="W12" s="17" t="s">
        <v>19</v>
      </c>
    </row>
    <row r="13" s="2" customFormat="true" ht="30" hidden="false" customHeight="true" outlineLevel="0" collapsed="false">
      <c r="B13" s="18" t="s">
        <v>20</v>
      </c>
      <c r="C13" s="18"/>
      <c r="D13" s="22" t="s">
        <v>210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3"/>
      <c r="U13" s="23"/>
      <c r="V13" s="24" t="n">
        <v>0</v>
      </c>
      <c r="W13" s="24" t="n">
        <v>25</v>
      </c>
      <c r="X13" s="1"/>
      <c r="Y13" s="1"/>
      <c r="Z13" s="1"/>
    </row>
    <row r="14" s="2" customFormat="true" ht="30" hidden="false" customHeight="true" outlineLevel="0" collapsed="false">
      <c r="B14" s="18"/>
      <c r="C14" s="18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5"/>
      <c r="T14" s="26"/>
      <c r="U14" s="27"/>
      <c r="V14" s="24" t="n">
        <v>0</v>
      </c>
      <c r="W14" s="24" t="n">
        <v>28</v>
      </c>
      <c r="X14" s="1"/>
      <c r="Y14" s="1"/>
      <c r="Z14" s="1"/>
    </row>
    <row r="15" customFormat="false" ht="30" hidden="false" customHeight="true" outlineLevel="0" collapsed="false">
      <c r="B15" s="18"/>
      <c r="C15" s="1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8"/>
      <c r="T15" s="29"/>
      <c r="U15" s="30"/>
      <c r="V15" s="24" t="str">
        <f aca="false">CONCATENATE("&lt; ",V14)</f>
        <v>&lt; 0</v>
      </c>
      <c r="W15" s="24" t="str">
        <f aca="false">CONCATENATE("&gt; ",W14)</f>
        <v>&gt; 28</v>
      </c>
    </row>
    <row r="16" customFormat="false" ht="30" hidden="false" customHeight="true" outlineLevel="0" collapsed="false">
      <c r="B16" s="31" t="s">
        <v>22</v>
      </c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8" t="s">
        <v>24</v>
      </c>
      <c r="T16" s="18"/>
      <c r="U16" s="18"/>
      <c r="V16" s="33" t="s">
        <v>25</v>
      </c>
      <c r="W16" s="33"/>
    </row>
    <row r="17" customFormat="false" ht="14.25" hidden="false" customHeight="true" outlineLevel="0" collapsed="false">
      <c r="B17" s="34" t="s">
        <v>26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customFormat="false" ht="26.25" hidden="false" customHeight="true" outlineLevel="0" collapsed="false">
      <c r="B18" s="31" t="s">
        <v>27</v>
      </c>
      <c r="C18" s="31"/>
      <c r="D18" s="35" t="s">
        <v>28</v>
      </c>
      <c r="E18" s="35"/>
      <c r="F18" s="35"/>
      <c r="G18" s="35"/>
      <c r="H18" s="35"/>
      <c r="I18" s="31" t="s">
        <v>29</v>
      </c>
      <c r="J18" s="31"/>
      <c r="K18" s="31"/>
      <c r="L18" s="31"/>
      <c r="M18" s="16" t="s">
        <v>30</v>
      </c>
      <c r="N18" s="16"/>
      <c r="O18" s="16"/>
      <c r="P18" s="16"/>
      <c r="Q18" s="18" t="s">
        <v>31</v>
      </c>
      <c r="R18" s="18"/>
      <c r="S18" s="18"/>
      <c r="T18" s="36" t="s">
        <v>32</v>
      </c>
      <c r="U18" s="36"/>
      <c r="V18" s="36"/>
      <c r="W18" s="36"/>
      <c r="X18" s="37"/>
    </row>
    <row r="19" customFormat="false" ht="30" hidden="false" customHeight="true" outlineLevel="0" collapsed="false">
      <c r="B19" s="31" t="s">
        <v>33</v>
      </c>
      <c r="C19" s="31"/>
      <c r="D19" s="35" t="s">
        <v>34</v>
      </c>
      <c r="E19" s="35"/>
      <c r="F19" s="35"/>
      <c r="G19" s="35"/>
      <c r="H19" s="35"/>
      <c r="I19" s="18" t="s">
        <v>35</v>
      </c>
      <c r="J19" s="18"/>
      <c r="K19" s="18"/>
      <c r="L19" s="18"/>
      <c r="M19" s="16" t="s">
        <v>34</v>
      </c>
      <c r="N19" s="16"/>
      <c r="O19" s="16"/>
      <c r="P19" s="16"/>
      <c r="Q19" s="18" t="s">
        <v>36</v>
      </c>
      <c r="R19" s="18"/>
      <c r="S19" s="18"/>
      <c r="T19" s="36" t="s">
        <v>34</v>
      </c>
      <c r="U19" s="36"/>
      <c r="V19" s="36"/>
      <c r="W19" s="36"/>
    </row>
    <row r="20" customFormat="false" ht="17.25" hidden="false" customHeight="true" outlineLevel="0" collapsed="false">
      <c r="B20" s="14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24.75" hidden="false" customHeight="true" outlineLevel="0" collapsed="false">
      <c r="B21" s="38" t="s">
        <v>38</v>
      </c>
      <c r="C21" s="38"/>
      <c r="D21" s="39" t="str">
        <f aca="false">VLOOKUP(P12,$AF$79:$AR$84,2,FALSE())</f>
        <v>Dic.</v>
      </c>
      <c r="E21" s="39" t="str">
        <f aca="false">VLOOKUP(P12,$AF$79:$AR$84,3,FALSE())</f>
        <v>Mar.</v>
      </c>
      <c r="F21" s="40" t="str">
        <f aca="false">VLOOKUP(P12,$AF$79:$AR$84,4,FALSE())</f>
        <v>Jun.</v>
      </c>
      <c r="G21" s="40"/>
      <c r="H21" s="40" t="str">
        <f aca="false">VLOOKUP(P12,$AF$79:$AR$84,5,FALSE())</f>
        <v>Sep.</v>
      </c>
      <c r="I21" s="40"/>
      <c r="J21" s="40"/>
      <c r="K21" s="41" t="str">
        <f aca="false">VLOOKUP(P12,$AF$79:$AR$84,6,FALSE())</f>
        <v>No Aplica</v>
      </c>
      <c r="L21" s="42" t="str">
        <f aca="false">VLOOKUP(P12,$AF$79:$AR$84,7,FALSE())</f>
        <v>No Aplica</v>
      </c>
      <c r="M21" s="42"/>
      <c r="N21" s="42" t="str">
        <f aca="false">VLOOKUP(P12,$AF$79:$AR$84,8,FALSE())</f>
        <v>No Aplica</v>
      </c>
      <c r="O21" s="42"/>
      <c r="P21" s="43" t="str">
        <f aca="false">VLOOKUP(P12,$AF$79:$AR$84,9,FALSE())</f>
        <v>No Aplica</v>
      </c>
      <c r="Q21" s="43"/>
      <c r="R21" s="43" t="str">
        <f aca="false">VLOOKUP(P12,$AF$79:$AR$84,10,FALSE())</f>
        <v>No Aplica</v>
      </c>
      <c r="S21" s="43"/>
      <c r="T21" s="44" t="str">
        <f aca="false">VLOOKUP(P12,$AF$79:$AR$84,11,FALSE())</f>
        <v>No Aplica</v>
      </c>
      <c r="U21" s="44"/>
      <c r="V21" s="45" t="str">
        <f aca="false">VLOOKUP(P12,$AF$79:$AR$84,12,FALSE())</f>
        <v>No Aplica</v>
      </c>
      <c r="W21" s="41" t="str">
        <f aca="false">VLOOKUP(P12,$AF$79:$AR$84,13,FALSE())</f>
        <v>No Aplica</v>
      </c>
    </row>
    <row r="22" customFormat="false" ht="45" hidden="false" customHeight="true" outlineLevel="0" collapsed="false">
      <c r="B22" s="46" t="s">
        <v>211</v>
      </c>
      <c r="C22" s="46"/>
      <c r="D22" s="47" t="n">
        <v>22</v>
      </c>
      <c r="E22" s="47" t="n">
        <v>23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8"/>
      <c r="W22" s="49"/>
    </row>
    <row r="23" customFormat="false" ht="24.75" hidden="false" customHeight="true" outlineLevel="0" collapsed="false">
      <c r="B23" s="50" t="s">
        <v>212</v>
      </c>
      <c r="C23" s="50"/>
      <c r="D23" s="51" t="n">
        <v>53</v>
      </c>
      <c r="E23" s="51" t="n">
        <v>55</v>
      </c>
      <c r="F23" s="47"/>
      <c r="G23" s="47"/>
      <c r="H23" s="47"/>
      <c r="I23" s="47"/>
      <c r="J23" s="47"/>
      <c r="K23" s="51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8"/>
      <c r="W23" s="52"/>
    </row>
    <row r="24" customFormat="false" ht="15" hidden="false" customHeight="true" outlineLevel="0" collapsed="false">
      <c r="B24" s="53" t="s">
        <v>41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15" hidden="false" customHeight="true" outlineLevel="0" collapsed="false">
      <c r="B25" s="54" t="s">
        <v>42</v>
      </c>
      <c r="C25" s="55" t="s">
        <v>43</v>
      </c>
      <c r="D25" s="55" t="s">
        <v>18</v>
      </c>
      <c r="E25" s="55" t="s">
        <v>19</v>
      </c>
      <c r="F25" s="56"/>
      <c r="G25" s="57"/>
      <c r="H25" s="57"/>
      <c r="I25" s="57"/>
      <c r="J25" s="57"/>
      <c r="K25" s="57"/>
      <c r="L25" s="57"/>
      <c r="M25" s="57"/>
      <c r="N25" s="58"/>
      <c r="O25" s="58"/>
      <c r="P25" s="58"/>
      <c r="Q25" s="58"/>
      <c r="R25" s="58"/>
      <c r="S25" s="59"/>
      <c r="T25" s="59"/>
      <c r="U25" s="59"/>
      <c r="V25" s="59"/>
      <c r="W25" s="59"/>
    </row>
    <row r="26" customFormat="false" ht="15" hidden="false" customHeight="true" outlineLevel="0" collapsed="false">
      <c r="B26" s="60" t="str">
        <f aca="false">D21</f>
        <v>Dic.</v>
      </c>
      <c r="C26" s="61" t="n">
        <f aca="false">IF(D23=0," ",D22*100/D23)</f>
        <v>41.5094339622642</v>
      </c>
      <c r="D26" s="62"/>
      <c r="E26" s="62" t="n">
        <f aca="false">IF(ISBLANK($W$13)," ",$W$13)</f>
        <v>25</v>
      </c>
      <c r="F26" s="63"/>
      <c r="G26" s="64"/>
      <c r="H26" s="64"/>
      <c r="I26" s="64"/>
      <c r="J26" s="64"/>
      <c r="K26" s="64"/>
      <c r="L26" s="64"/>
      <c r="M26" s="64"/>
      <c r="N26" s="58"/>
      <c r="O26" s="58"/>
      <c r="P26" s="58"/>
      <c r="Q26" s="58"/>
      <c r="R26" s="58"/>
      <c r="S26" s="65"/>
      <c r="T26" s="65"/>
      <c r="U26" s="65"/>
      <c r="V26" s="65"/>
      <c r="W26" s="65"/>
    </row>
    <row r="27" customFormat="false" ht="15" hidden="false" customHeight="true" outlineLevel="0" collapsed="false">
      <c r="B27" s="60" t="str">
        <f aca="false">E21</f>
        <v>Mar.</v>
      </c>
      <c r="C27" s="61" t="n">
        <f aca="false">IF(E23=0," ",E22*100/E23)</f>
        <v>41.8181818181818</v>
      </c>
      <c r="D27" s="62"/>
      <c r="E27" s="62" t="n">
        <f aca="false">IF(ISBLANK($W$13)," ",$W$13)</f>
        <v>25</v>
      </c>
      <c r="F27" s="63"/>
      <c r="G27" s="64"/>
      <c r="H27" s="64"/>
      <c r="I27" s="64"/>
      <c r="J27" s="64"/>
      <c r="K27" s="64"/>
      <c r="L27" s="64"/>
      <c r="M27" s="64"/>
      <c r="N27" s="58"/>
      <c r="O27" s="58"/>
      <c r="P27" s="58"/>
      <c r="Q27" s="58"/>
      <c r="R27" s="58"/>
      <c r="S27" s="65"/>
      <c r="T27" s="65"/>
      <c r="U27" s="65"/>
      <c r="V27" s="65"/>
      <c r="W27" s="65"/>
    </row>
    <row r="28" customFormat="false" ht="15" hidden="false" customHeight="true" outlineLevel="0" collapsed="false">
      <c r="B28" s="60" t="str">
        <f aca="false">F21</f>
        <v>Jun.</v>
      </c>
      <c r="C28" s="61" t="str">
        <f aca="false">IF(F23=0," ",F22*100/F23)</f>
        <v> </v>
      </c>
      <c r="D28" s="62"/>
      <c r="E28" s="62" t="n">
        <f aca="false">IF(ISBLANK($W$13)," ",$W$13)</f>
        <v>25</v>
      </c>
      <c r="F28" s="63"/>
      <c r="G28" s="64"/>
      <c r="H28" s="64"/>
      <c r="I28" s="64"/>
      <c r="J28" s="64"/>
      <c r="K28" s="64"/>
      <c r="L28" s="64"/>
      <c r="M28" s="64"/>
      <c r="N28" s="58"/>
      <c r="O28" s="58"/>
      <c r="P28" s="58"/>
      <c r="Q28" s="58"/>
      <c r="R28" s="58"/>
      <c r="S28" s="65"/>
      <c r="T28" s="65"/>
      <c r="U28" s="65"/>
      <c r="V28" s="65"/>
      <c r="W28" s="65"/>
    </row>
    <row r="29" customFormat="false" ht="15" hidden="false" customHeight="true" outlineLevel="0" collapsed="false">
      <c r="B29" s="60" t="str">
        <f aca="false">H21</f>
        <v>Sep.</v>
      </c>
      <c r="C29" s="61" t="str">
        <f aca="false">IF(H23=0," ",H22*100/H23)</f>
        <v> </v>
      </c>
      <c r="D29" s="62"/>
      <c r="E29" s="62" t="n">
        <f aca="false">IF(ISBLANK($W$13)," ",$W$13)</f>
        <v>25</v>
      </c>
      <c r="F29" s="63"/>
      <c r="G29" s="64"/>
      <c r="H29" s="64"/>
      <c r="I29" s="64"/>
      <c r="J29" s="64"/>
      <c r="K29" s="64"/>
      <c r="L29" s="64"/>
      <c r="M29" s="64"/>
      <c r="N29" s="58"/>
      <c r="O29" s="58"/>
      <c r="P29" s="58"/>
      <c r="Q29" s="58"/>
      <c r="R29" s="58"/>
      <c r="S29" s="65"/>
      <c r="T29" s="65"/>
      <c r="U29" s="65"/>
      <c r="V29" s="65"/>
      <c r="W29" s="65"/>
      <c r="AB29" s="66"/>
      <c r="AC29" s="66"/>
      <c r="AD29" s="66"/>
    </row>
    <row r="30" customFormat="false" ht="15" hidden="false" customHeight="true" outlineLevel="0" collapsed="false">
      <c r="B30" s="60" t="str">
        <f aca="false">K21</f>
        <v>No Aplica</v>
      </c>
      <c r="C30" s="61" t="str">
        <f aca="false">IF(K23=0," ",K22*100/K23)</f>
        <v> </v>
      </c>
      <c r="D30" s="62"/>
      <c r="E30" s="62" t="n">
        <f aca="false">IF(ISBLANK($W$13)," ",$W$13)</f>
        <v>25</v>
      </c>
      <c r="F30" s="63"/>
      <c r="G30" s="64"/>
      <c r="H30" s="64"/>
      <c r="I30" s="64"/>
      <c r="J30" s="64"/>
      <c r="K30" s="64"/>
      <c r="L30" s="64"/>
      <c r="M30" s="64"/>
      <c r="N30" s="58"/>
      <c r="O30" s="58"/>
      <c r="P30" s="58"/>
      <c r="Q30" s="58"/>
      <c r="R30" s="58"/>
      <c r="S30" s="65"/>
      <c r="T30" s="65"/>
      <c r="U30" s="65"/>
      <c r="V30" s="65"/>
      <c r="W30" s="65"/>
      <c r="AB30" s="66"/>
      <c r="AC30" s="66"/>
      <c r="AD30" s="66"/>
    </row>
    <row r="31" customFormat="false" ht="15" hidden="false" customHeight="true" outlineLevel="0" collapsed="false">
      <c r="B31" s="60" t="str">
        <f aca="false">L21</f>
        <v>No Aplica</v>
      </c>
      <c r="C31" s="61" t="str">
        <f aca="false">IF(L23=0," ",L22*100/L23)</f>
        <v> </v>
      </c>
      <c r="D31" s="62"/>
      <c r="E31" s="62" t="n">
        <f aca="false">IF(ISBLANK($W$13)," ",$W$13)</f>
        <v>25</v>
      </c>
      <c r="F31" s="63"/>
      <c r="G31" s="64"/>
      <c r="H31" s="64"/>
      <c r="I31" s="64"/>
      <c r="J31" s="64"/>
      <c r="K31" s="64"/>
      <c r="L31" s="64"/>
      <c r="M31" s="64"/>
      <c r="N31" s="58"/>
      <c r="O31" s="58"/>
      <c r="P31" s="58"/>
      <c r="Q31" s="58"/>
      <c r="R31" s="58"/>
      <c r="S31" s="65"/>
      <c r="T31" s="65"/>
      <c r="U31" s="65"/>
      <c r="V31" s="65"/>
      <c r="W31" s="65"/>
      <c r="AB31" s="66"/>
      <c r="AC31" s="66"/>
      <c r="AD31" s="66"/>
    </row>
    <row r="32" customFormat="false" ht="15" hidden="false" customHeight="true" outlineLevel="0" collapsed="false">
      <c r="B32" s="60" t="str">
        <f aca="false">N21</f>
        <v>No Aplica</v>
      </c>
      <c r="C32" s="61" t="str">
        <f aca="false">IF(N23=0," ",N22*100/N23)</f>
        <v> </v>
      </c>
      <c r="D32" s="62"/>
      <c r="E32" s="62" t="n">
        <f aca="false">IF(ISBLANK($W$13)," ",$W$13)</f>
        <v>25</v>
      </c>
      <c r="F32" s="63"/>
      <c r="G32" s="64"/>
      <c r="H32" s="64"/>
      <c r="I32" s="64"/>
      <c r="J32" s="64"/>
      <c r="K32" s="64"/>
      <c r="L32" s="64"/>
      <c r="M32" s="64"/>
      <c r="N32" s="58"/>
      <c r="O32" s="58"/>
      <c r="P32" s="58"/>
      <c r="Q32" s="58"/>
      <c r="R32" s="58"/>
      <c r="S32" s="65"/>
      <c r="T32" s="65"/>
      <c r="U32" s="65"/>
      <c r="V32" s="65"/>
      <c r="W32" s="65"/>
      <c r="AB32" s="66"/>
      <c r="AC32" s="66"/>
      <c r="AD32" s="66"/>
    </row>
    <row r="33" customFormat="false" ht="15" hidden="false" customHeight="true" outlineLevel="0" collapsed="false">
      <c r="B33" s="60" t="str">
        <f aca="false">P21</f>
        <v>No Aplica</v>
      </c>
      <c r="C33" s="61" t="str">
        <f aca="false">IF(P23=0," ",P22*100/P23)</f>
        <v> </v>
      </c>
      <c r="D33" s="62"/>
      <c r="E33" s="62" t="n">
        <f aca="false">IF(ISBLANK($W$13)," ",$W$13)</f>
        <v>25</v>
      </c>
      <c r="F33" s="63"/>
      <c r="G33" s="64"/>
      <c r="H33" s="64"/>
      <c r="I33" s="64"/>
      <c r="J33" s="64"/>
      <c r="K33" s="64"/>
      <c r="L33" s="64"/>
      <c r="M33" s="64"/>
      <c r="N33" s="58"/>
      <c r="O33" s="58"/>
      <c r="P33" s="58"/>
      <c r="Q33" s="58"/>
      <c r="R33" s="58"/>
      <c r="S33" s="65"/>
      <c r="T33" s="65"/>
      <c r="U33" s="65"/>
      <c r="V33" s="65"/>
      <c r="W33" s="65"/>
      <c r="AB33" s="66"/>
      <c r="AC33" s="66"/>
      <c r="AD33" s="66"/>
    </row>
    <row r="34" customFormat="false" ht="15" hidden="false" customHeight="true" outlineLevel="0" collapsed="false">
      <c r="B34" s="60" t="str">
        <f aca="false">R21</f>
        <v>No Aplica</v>
      </c>
      <c r="C34" s="61" t="str">
        <f aca="false">IF(R23=0, " ",R22*100/R23)</f>
        <v> </v>
      </c>
      <c r="D34" s="62"/>
      <c r="E34" s="62" t="n">
        <f aca="false">IF(ISBLANK($W$13)," ",$W$13)</f>
        <v>25</v>
      </c>
      <c r="F34" s="63"/>
      <c r="G34" s="64"/>
      <c r="H34" s="64"/>
      <c r="I34" s="64"/>
      <c r="J34" s="64"/>
      <c r="K34" s="64"/>
      <c r="L34" s="64"/>
      <c r="M34" s="64"/>
      <c r="N34" s="58"/>
      <c r="O34" s="58"/>
      <c r="P34" s="58"/>
      <c r="Q34" s="58"/>
      <c r="R34" s="58"/>
      <c r="S34" s="65"/>
      <c r="T34" s="65"/>
      <c r="U34" s="65"/>
      <c r="V34" s="65"/>
      <c r="W34" s="65"/>
      <c r="AB34" s="66"/>
      <c r="AC34" s="66"/>
      <c r="AD34" s="66"/>
    </row>
    <row r="35" customFormat="false" ht="15" hidden="false" customHeight="true" outlineLevel="0" collapsed="false">
      <c r="B35" s="60" t="str">
        <f aca="false">T21</f>
        <v>No Aplica</v>
      </c>
      <c r="C35" s="61" t="str">
        <f aca="false">IF(T23=0," ",T22*100/T23)</f>
        <v> </v>
      </c>
      <c r="D35" s="62"/>
      <c r="E35" s="62" t="n">
        <f aca="false">IF(ISBLANK($W$13)," ",$W$13)</f>
        <v>25</v>
      </c>
      <c r="F35" s="63"/>
      <c r="G35" s="64"/>
      <c r="H35" s="64"/>
      <c r="I35" s="64"/>
      <c r="J35" s="64"/>
      <c r="K35" s="64"/>
      <c r="L35" s="64"/>
      <c r="M35" s="64"/>
      <c r="N35" s="58"/>
      <c r="O35" s="58"/>
      <c r="P35" s="58"/>
      <c r="Q35" s="58"/>
      <c r="R35" s="58"/>
      <c r="S35" s="65"/>
      <c r="T35" s="65"/>
      <c r="U35" s="65"/>
      <c r="V35" s="65"/>
      <c r="W35" s="65"/>
      <c r="AB35" s="66"/>
      <c r="AC35" s="66"/>
      <c r="AD35" s="66"/>
    </row>
    <row r="36" customFormat="false" ht="12.75" hidden="false" customHeight="false" outlineLevel="0" collapsed="false">
      <c r="B36" s="60" t="str">
        <f aca="false">V21</f>
        <v>No Aplica</v>
      </c>
      <c r="C36" s="61" t="str">
        <f aca="false">IF(V23=0, " ",V22*100/V23)</f>
        <v> </v>
      </c>
      <c r="D36" s="62"/>
      <c r="E36" s="62" t="n">
        <f aca="false">IF(ISBLANK($W$13)," ",$W$13)</f>
        <v>25</v>
      </c>
      <c r="F36" s="63"/>
      <c r="G36" s="64"/>
      <c r="H36" s="64"/>
      <c r="I36" s="64"/>
      <c r="J36" s="64"/>
      <c r="K36" s="64"/>
      <c r="L36" s="64"/>
      <c r="M36" s="64"/>
      <c r="N36" s="58"/>
      <c r="O36" s="58"/>
      <c r="P36" s="58"/>
      <c r="Q36" s="58"/>
      <c r="R36" s="58"/>
      <c r="S36" s="65"/>
      <c r="T36" s="65"/>
      <c r="U36" s="65"/>
      <c r="V36" s="65"/>
      <c r="W36" s="65"/>
      <c r="AB36" s="66"/>
      <c r="AC36" s="66"/>
      <c r="AD36" s="66"/>
    </row>
    <row r="37" customFormat="false" ht="12.75" hidden="false" customHeight="false" outlineLevel="0" collapsed="false">
      <c r="B37" s="60" t="str">
        <f aca="false">W21</f>
        <v>No Aplica</v>
      </c>
      <c r="C37" s="61" t="str">
        <f aca="false">IF(W23=0," ",W22*100/W23)</f>
        <v> </v>
      </c>
      <c r="D37" s="62"/>
      <c r="E37" s="62" t="n">
        <f aca="false">IF(ISBLANK($W$13)," ",$W$13)</f>
        <v>25</v>
      </c>
      <c r="F37" s="63"/>
      <c r="G37" s="64"/>
      <c r="H37" s="64"/>
      <c r="I37" s="64"/>
      <c r="J37" s="64"/>
      <c r="K37" s="64"/>
      <c r="L37" s="64"/>
      <c r="M37" s="64"/>
      <c r="N37" s="58"/>
      <c r="O37" s="58"/>
      <c r="P37" s="58"/>
      <c r="Q37" s="58"/>
      <c r="R37" s="58"/>
      <c r="S37" s="65"/>
      <c r="T37" s="65"/>
      <c r="U37" s="65"/>
      <c r="V37" s="65"/>
      <c r="W37" s="65"/>
      <c r="AB37" s="66"/>
      <c r="AC37" s="66"/>
      <c r="AD37" s="66"/>
    </row>
    <row r="38" customFormat="false" ht="12.75" hidden="false" customHeight="true" outlineLevel="0" collapsed="false">
      <c r="B38" s="67" t="s">
        <v>44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 customFormat="false" ht="19.5" hidden="false" customHeight="true" outlineLevel="0" collapsed="false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customFormat="false" ht="19.5" hidden="false" customHeight="true" outlineLevel="0" collapsed="false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customFormat="false" ht="37.5" hidden="false" customHeight="true" outlineLevel="0" collapsed="false">
      <c r="B41" s="69" t="s">
        <v>42</v>
      </c>
      <c r="C41" s="69"/>
      <c r="D41" s="70" t="s">
        <v>45</v>
      </c>
      <c r="E41" s="70"/>
      <c r="F41" s="70"/>
      <c r="G41" s="70"/>
      <c r="H41" s="70"/>
      <c r="I41" s="70"/>
      <c r="J41" s="70"/>
      <c r="K41" s="70"/>
      <c r="L41" s="70"/>
      <c r="M41" s="71" t="s">
        <v>46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 customFormat="false" ht="24" hidden="false" customHeight="true" outlineLevel="0" collapsed="false">
      <c r="B42" s="72" t="str">
        <f aca="false">D21</f>
        <v>Dic.</v>
      </c>
      <c r="C42" s="72"/>
      <c r="D42" s="114"/>
      <c r="E42" s="114"/>
      <c r="F42" s="114"/>
      <c r="G42" s="114"/>
      <c r="H42" s="114"/>
      <c r="I42" s="114"/>
      <c r="J42" s="114"/>
      <c r="K42" s="114"/>
      <c r="L42" s="114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</row>
    <row r="43" customFormat="false" ht="24" hidden="false" customHeight="true" outlineLevel="0" collapsed="false">
      <c r="B43" s="72" t="str">
        <f aca="false">E21</f>
        <v>Mar.</v>
      </c>
      <c r="C43" s="72"/>
      <c r="D43" s="114"/>
      <c r="E43" s="114"/>
      <c r="F43" s="114"/>
      <c r="G43" s="114"/>
      <c r="H43" s="114"/>
      <c r="I43" s="114"/>
      <c r="J43" s="114"/>
      <c r="K43" s="114"/>
      <c r="L43" s="114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 customFormat="false" ht="24" hidden="false" customHeight="true" outlineLevel="0" collapsed="false">
      <c r="B44" s="72" t="str">
        <f aca="false">F21</f>
        <v>Jun.</v>
      </c>
      <c r="C44" s="72"/>
      <c r="D44" s="114"/>
      <c r="E44" s="114"/>
      <c r="F44" s="114"/>
      <c r="G44" s="114"/>
      <c r="H44" s="114"/>
      <c r="I44" s="114"/>
      <c r="J44" s="114"/>
      <c r="K44" s="114"/>
      <c r="L44" s="114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</row>
    <row r="45" s="75" customFormat="true" ht="24" hidden="false" customHeight="true" outlineLevel="0" collapsed="false">
      <c r="B45" s="72" t="str">
        <f aca="false">H21</f>
        <v>Sep.</v>
      </c>
      <c r="C45" s="72"/>
      <c r="D45" s="114"/>
      <c r="E45" s="114"/>
      <c r="F45" s="114"/>
      <c r="G45" s="114"/>
      <c r="H45" s="114"/>
      <c r="I45" s="114"/>
      <c r="J45" s="114"/>
      <c r="K45" s="114"/>
      <c r="L45" s="114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AA45" s="76"/>
    </row>
    <row r="46" s="75" customFormat="true" ht="24" hidden="false" customHeight="true" outlineLevel="0" collapsed="false">
      <c r="B46" s="72" t="str">
        <f aca="false">K21</f>
        <v>No Aplica</v>
      </c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AA46" s="76"/>
    </row>
    <row r="47" s="75" customFormat="true" ht="24" hidden="false" customHeight="true" outlineLevel="0" collapsed="false">
      <c r="B47" s="72" t="str">
        <f aca="false">L21</f>
        <v>No Aplica</v>
      </c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AA47" s="76"/>
    </row>
    <row r="48" s="75" customFormat="true" ht="24" hidden="false" customHeight="true" outlineLevel="0" collapsed="false">
      <c r="B48" s="72" t="str">
        <f aca="false">N21</f>
        <v>No Aplica</v>
      </c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AA48" s="76"/>
    </row>
    <row r="49" s="75" customFormat="true" ht="24" hidden="false" customHeight="true" outlineLevel="0" collapsed="false">
      <c r="B49" s="72" t="str">
        <f aca="false">P21</f>
        <v>No Aplica</v>
      </c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AA49" s="76"/>
    </row>
    <row r="50" s="75" customFormat="true" ht="24" hidden="false" customHeight="true" outlineLevel="0" collapsed="false">
      <c r="B50" s="72" t="str">
        <f aca="false">R21</f>
        <v>No Aplica</v>
      </c>
      <c r="C50" s="72"/>
      <c r="D50" s="114"/>
      <c r="E50" s="114"/>
      <c r="F50" s="114"/>
      <c r="G50" s="114"/>
      <c r="H50" s="114"/>
      <c r="I50" s="114"/>
      <c r="J50" s="114"/>
      <c r="K50" s="114"/>
      <c r="L50" s="114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AA50" s="76"/>
    </row>
    <row r="51" s="75" customFormat="true" ht="24" hidden="false" customHeight="true" outlineLevel="0" collapsed="false">
      <c r="B51" s="72" t="str">
        <f aca="false">T21</f>
        <v>No Aplica</v>
      </c>
      <c r="C51" s="72"/>
      <c r="D51" s="114"/>
      <c r="E51" s="114"/>
      <c r="F51" s="114"/>
      <c r="G51" s="114"/>
      <c r="H51" s="114"/>
      <c r="I51" s="114"/>
      <c r="J51" s="114"/>
      <c r="K51" s="114"/>
      <c r="L51" s="114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AA51" s="76"/>
    </row>
    <row r="52" customFormat="false" ht="24" hidden="false" customHeight="true" outlineLevel="0" collapsed="false">
      <c r="B52" s="72" t="str">
        <f aca="false">V21</f>
        <v>No Aplica</v>
      </c>
      <c r="C52" s="72"/>
      <c r="D52" s="114"/>
      <c r="E52" s="114"/>
      <c r="F52" s="114"/>
      <c r="G52" s="114"/>
      <c r="H52" s="114"/>
      <c r="I52" s="114"/>
      <c r="J52" s="114"/>
      <c r="K52" s="114"/>
      <c r="L52" s="114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</row>
    <row r="53" customFormat="false" ht="24" hidden="false" customHeight="true" outlineLevel="0" collapsed="false">
      <c r="B53" s="77" t="str">
        <f aca="false">W21</f>
        <v>No Aplica</v>
      </c>
      <c r="C53" s="77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</row>
    <row r="54" customFormat="false" ht="12.75" hidden="false" customHeight="true" outlineLevel="0" collapsed="false">
      <c r="B54" s="78" t="s">
        <v>55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customFormat="false" ht="12.75" hidden="false" customHeight="false" outlineLevel="0" collapsed="false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</row>
    <row r="56" customFormat="false" ht="12.75" hidden="false" customHeight="false" outlineLevel="0" collapsed="false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customFormat="false" ht="12.75" hidden="false" customHeight="false" outlineLevel="0" collapsed="false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customFormat="false" ht="12.75" hidden="false" customHeight="false" outlineLevel="0" collapsed="false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customFormat="false" ht="13.5" hidden="false" customHeight="true" outlineLevel="0" collapsed="false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</row>
    <row r="60" customFormat="false" ht="15" hidden="false" customHeight="true" outlineLevel="0" collapsed="false">
      <c r="B60" s="80"/>
      <c r="C60" s="81"/>
      <c r="D60" s="81"/>
      <c r="E60" s="81"/>
      <c r="F60" s="81"/>
      <c r="G60" s="82"/>
      <c r="H60" s="81"/>
      <c r="I60" s="83"/>
      <c r="J60" s="84"/>
      <c r="K60" s="8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6" t="s">
        <v>56</v>
      </c>
    </row>
    <row r="61" customFormat="false" ht="12.75" hidden="false" customHeight="false" outlineLevel="0" collapsed="false">
      <c r="B61" s="87"/>
    </row>
    <row r="68" customFormat="false" ht="3" hidden="false" customHeight="true" outlineLevel="0" collapsed="false"/>
    <row r="70" customFormat="false" ht="20.25" hidden="false" customHeight="true" outlineLevel="0" collapsed="false"/>
    <row r="71" customFormat="false" ht="15" hidden="true" customHeight="true" outlineLevel="0" collapsed="false"/>
    <row r="72" s="1" customFormat="true" ht="20.25" hidden="true" customHeight="true" outlineLevel="0" collapsed="false"/>
    <row r="73" customFormat="false" ht="12.75" hidden="true" customHeight="false" outlineLevel="0" collapsed="false"/>
    <row r="74" customFormat="false" ht="12.75" hidden="true" customHeight="false" outlineLevel="0" collapsed="false"/>
    <row r="75" customFormat="false" ht="13.5" hidden="true" customHeight="true" outlineLevel="0" collapsed="false"/>
    <row r="76" customFormat="false" ht="12.75" hidden="true" customHeight="false" outlineLevel="0" collapsed="false"/>
    <row r="77" customFormat="false" ht="12.75" hidden="true" customHeight="false" outlineLevel="0" collapsed="false"/>
    <row r="78" customFormat="false" ht="21" hidden="true" customHeight="true" outlineLevel="0" collapsed="false">
      <c r="B78" s="88"/>
      <c r="C78" s="89"/>
      <c r="D78" s="90" t="s">
        <v>57</v>
      </c>
      <c r="E78" s="90"/>
      <c r="M78" s="89" t="s">
        <v>58</v>
      </c>
      <c r="T78" s="89" t="s">
        <v>59</v>
      </c>
      <c r="Y78" s="89" t="s">
        <v>60</v>
      </c>
      <c r="AC78" s="89" t="s">
        <v>61</v>
      </c>
      <c r="AE78" s="91"/>
      <c r="AF78" s="91"/>
      <c r="AG78" s="92" t="s">
        <v>62</v>
      </c>
      <c r="AH78" s="92"/>
    </row>
    <row r="79" customFormat="false" ht="20.25" hidden="true" customHeight="true" outlineLevel="0" collapsed="false">
      <c r="B79" s="91"/>
      <c r="C79" s="91"/>
      <c r="D79" s="93" t="s">
        <v>63</v>
      </c>
      <c r="E79" s="93" t="s">
        <v>64</v>
      </c>
      <c r="M79" s="1" t="s">
        <v>65</v>
      </c>
      <c r="T79" s="1" t="s">
        <v>66</v>
      </c>
      <c r="Y79" s="1" t="s">
        <v>67</v>
      </c>
      <c r="AC79" s="94" t="s">
        <v>68</v>
      </c>
      <c r="AE79" s="95" t="s">
        <v>69</v>
      </c>
      <c r="AF79" s="96" t="s">
        <v>17</v>
      </c>
      <c r="AG79" s="97" t="s">
        <v>70</v>
      </c>
      <c r="AH79" s="97" t="s">
        <v>71</v>
      </c>
      <c r="AI79" s="98" t="s">
        <v>72</v>
      </c>
      <c r="AJ79" s="98" t="s">
        <v>73</v>
      </c>
      <c r="AK79" s="98" t="s">
        <v>74</v>
      </c>
      <c r="AL79" s="98" t="s">
        <v>75</v>
      </c>
      <c r="AM79" s="97" t="s">
        <v>76</v>
      </c>
      <c r="AN79" s="97" t="s">
        <v>77</v>
      </c>
      <c r="AO79" s="98" t="s">
        <v>78</v>
      </c>
      <c r="AP79" s="98" t="s">
        <v>79</v>
      </c>
      <c r="AQ79" s="98" t="s">
        <v>80</v>
      </c>
      <c r="AR79" s="98" t="s">
        <v>81</v>
      </c>
    </row>
    <row r="80" customFormat="false" ht="31.5" hidden="true" customHeight="true" outlineLevel="0" collapsed="false">
      <c r="B80" s="99" t="s">
        <v>3</v>
      </c>
      <c r="C80" s="100" t="s">
        <v>82</v>
      </c>
      <c r="D80" s="100" t="s">
        <v>83</v>
      </c>
      <c r="E80" s="100" t="s">
        <v>84</v>
      </c>
      <c r="M80" s="1" t="s">
        <v>85</v>
      </c>
      <c r="T80" s="1" t="s">
        <v>86</v>
      </c>
      <c r="Y80" s="1" t="s">
        <v>87</v>
      </c>
      <c r="AC80" s="94" t="s">
        <v>88</v>
      </c>
      <c r="AE80" s="95"/>
      <c r="AF80" s="96" t="s">
        <v>89</v>
      </c>
      <c r="AG80" s="97" t="s">
        <v>71</v>
      </c>
      <c r="AH80" s="97" t="s">
        <v>73</v>
      </c>
      <c r="AI80" s="98" t="s">
        <v>75</v>
      </c>
      <c r="AJ80" s="98" t="s">
        <v>77</v>
      </c>
      <c r="AK80" s="98" t="s">
        <v>79</v>
      </c>
      <c r="AL80" s="98" t="s">
        <v>81</v>
      </c>
      <c r="AM80" s="98" t="s">
        <v>90</v>
      </c>
      <c r="AN80" s="98" t="s">
        <v>90</v>
      </c>
      <c r="AO80" s="98" t="s">
        <v>90</v>
      </c>
      <c r="AP80" s="98" t="s">
        <v>90</v>
      </c>
      <c r="AQ80" s="98" t="s">
        <v>90</v>
      </c>
      <c r="AR80" s="98" t="s">
        <v>90</v>
      </c>
    </row>
    <row r="81" customFormat="false" ht="21.75" hidden="true" customHeight="true" outlineLevel="0" collapsed="false">
      <c r="B81" s="99"/>
      <c r="C81" s="100" t="s">
        <v>5</v>
      </c>
      <c r="D81" s="100" t="s">
        <v>91</v>
      </c>
      <c r="E81" s="100" t="s">
        <v>92</v>
      </c>
      <c r="M81" s="1" t="s">
        <v>93</v>
      </c>
      <c r="T81" s="1" t="s">
        <v>94</v>
      </c>
      <c r="Y81" s="1" t="s">
        <v>95</v>
      </c>
      <c r="AC81" s="94" t="s">
        <v>96</v>
      </c>
      <c r="AE81" s="95"/>
      <c r="AF81" s="96" t="s">
        <v>97</v>
      </c>
      <c r="AG81" s="97" t="s">
        <v>72</v>
      </c>
      <c r="AH81" s="97" t="s">
        <v>75</v>
      </c>
      <c r="AI81" s="98" t="s">
        <v>78</v>
      </c>
      <c r="AJ81" s="98" t="s">
        <v>81</v>
      </c>
      <c r="AK81" s="98" t="s">
        <v>90</v>
      </c>
      <c r="AL81" s="98" t="s">
        <v>90</v>
      </c>
      <c r="AM81" s="98" t="s">
        <v>90</v>
      </c>
      <c r="AN81" s="98" t="s">
        <v>90</v>
      </c>
      <c r="AO81" s="98" t="s">
        <v>90</v>
      </c>
      <c r="AP81" s="98" t="s">
        <v>90</v>
      </c>
      <c r="AQ81" s="98" t="s">
        <v>90</v>
      </c>
      <c r="AR81" s="98" t="s">
        <v>90</v>
      </c>
    </row>
    <row r="82" customFormat="false" ht="22.5" hidden="true" customHeight="true" outlineLevel="0" collapsed="false">
      <c r="B82" s="99"/>
      <c r="C82" s="100" t="s">
        <v>98</v>
      </c>
      <c r="D82" s="100" t="s">
        <v>91</v>
      </c>
      <c r="E82" s="100" t="s">
        <v>99</v>
      </c>
      <c r="M82" s="1" t="s">
        <v>28</v>
      </c>
      <c r="T82" s="1" t="s">
        <v>100</v>
      </c>
      <c r="Y82" s="1" t="s">
        <v>101</v>
      </c>
      <c r="AC82" s="94" t="s">
        <v>102</v>
      </c>
      <c r="AE82" s="95"/>
      <c r="AF82" s="96" t="s">
        <v>103</v>
      </c>
      <c r="AG82" s="98" t="s">
        <v>73</v>
      </c>
      <c r="AH82" s="98" t="s">
        <v>77</v>
      </c>
      <c r="AI82" s="98" t="s">
        <v>81</v>
      </c>
      <c r="AJ82" s="98" t="s">
        <v>90</v>
      </c>
      <c r="AK82" s="98" t="s">
        <v>90</v>
      </c>
      <c r="AL82" s="98" t="s">
        <v>90</v>
      </c>
      <c r="AM82" s="98" t="s">
        <v>90</v>
      </c>
      <c r="AN82" s="98" t="s">
        <v>90</v>
      </c>
      <c r="AO82" s="98" t="s">
        <v>90</v>
      </c>
      <c r="AP82" s="98" t="s">
        <v>90</v>
      </c>
      <c r="AQ82" s="98" t="s">
        <v>90</v>
      </c>
      <c r="AR82" s="98" t="s">
        <v>90</v>
      </c>
    </row>
    <row r="83" customFormat="false" ht="15" hidden="true" customHeight="true" outlineLevel="0" collapsed="false">
      <c r="B83" s="101"/>
      <c r="T83" s="1" t="s">
        <v>104</v>
      </c>
      <c r="Y83" s="1" t="s">
        <v>105</v>
      </c>
      <c r="AC83" s="94" t="s">
        <v>106</v>
      </c>
      <c r="AE83" s="95"/>
      <c r="AF83" s="96" t="s">
        <v>107</v>
      </c>
      <c r="AG83" s="98" t="s">
        <v>75</v>
      </c>
      <c r="AH83" s="98" t="s">
        <v>81</v>
      </c>
      <c r="AI83" s="98" t="s">
        <v>90</v>
      </c>
      <c r="AJ83" s="98" t="s">
        <v>90</v>
      </c>
      <c r="AK83" s="98" t="s">
        <v>90</v>
      </c>
      <c r="AL83" s="98" t="s">
        <v>90</v>
      </c>
      <c r="AM83" s="98" t="s">
        <v>90</v>
      </c>
      <c r="AN83" s="98" t="s">
        <v>90</v>
      </c>
      <c r="AO83" s="98" t="s">
        <v>90</v>
      </c>
      <c r="AP83" s="98" t="s">
        <v>90</v>
      </c>
      <c r="AQ83" s="98" t="s">
        <v>90</v>
      </c>
      <c r="AR83" s="98" t="s">
        <v>90</v>
      </c>
    </row>
    <row r="84" customFormat="false" ht="15" hidden="true" customHeight="true" outlineLevel="0" collapsed="false">
      <c r="B84" s="102" t="s">
        <v>108</v>
      </c>
      <c r="C84" s="103" t="s">
        <v>109</v>
      </c>
      <c r="D84" s="104"/>
      <c r="E84" s="104"/>
      <c r="F84" s="104"/>
      <c r="G84" s="104"/>
      <c r="H84" s="104"/>
      <c r="I84" s="104"/>
      <c r="J84" s="104"/>
      <c r="K84" s="104"/>
      <c r="L84" s="104"/>
      <c r="M84" s="105"/>
      <c r="N84" s="104"/>
      <c r="O84" s="104"/>
      <c r="P84" s="104"/>
      <c r="T84" s="1" t="s">
        <v>110</v>
      </c>
      <c r="Y84" s="1" t="s">
        <v>111</v>
      </c>
      <c r="AC84" s="94" t="s">
        <v>112</v>
      </c>
      <c r="AF84" s="96" t="s">
        <v>113</v>
      </c>
      <c r="AG84" s="97" t="s">
        <v>70</v>
      </c>
      <c r="AH84" s="97" t="s">
        <v>71</v>
      </c>
      <c r="AI84" s="98" t="s">
        <v>72</v>
      </c>
      <c r="AJ84" s="98" t="s">
        <v>73</v>
      </c>
      <c r="AK84" s="98" t="s">
        <v>74</v>
      </c>
      <c r="AL84" s="98" t="s">
        <v>75</v>
      </c>
      <c r="AM84" s="97" t="s">
        <v>76</v>
      </c>
      <c r="AN84" s="97" t="s">
        <v>77</v>
      </c>
      <c r="AO84" s="98" t="s">
        <v>78</v>
      </c>
      <c r="AP84" s="98" t="s">
        <v>79</v>
      </c>
      <c r="AQ84" s="98" t="s">
        <v>80</v>
      </c>
      <c r="AR84" s="98" t="s">
        <v>81</v>
      </c>
    </row>
    <row r="85" customFormat="false" ht="12.75" hidden="true" customHeight="false" outlineLevel="0" collapsed="false">
      <c r="B85" s="106" t="n">
        <v>1</v>
      </c>
      <c r="C85" s="1" t="s">
        <v>114</v>
      </c>
      <c r="T85" s="1" t="s">
        <v>115</v>
      </c>
      <c r="Y85" s="1" t="s">
        <v>116</v>
      </c>
      <c r="AC85" s="94" t="s">
        <v>117</v>
      </c>
    </row>
    <row r="86" customFormat="false" ht="12.75" hidden="true" customHeight="false" outlineLevel="0" collapsed="false">
      <c r="B86" s="106" t="n">
        <v>2</v>
      </c>
      <c r="C86" s="1" t="s">
        <v>118</v>
      </c>
      <c r="T86" s="1" t="s">
        <v>119</v>
      </c>
      <c r="Y86" s="1" t="s">
        <v>120</v>
      </c>
      <c r="AC86" s="94" t="s">
        <v>121</v>
      </c>
    </row>
    <row r="87" customFormat="false" ht="12.75" hidden="true" customHeight="false" outlineLevel="0" collapsed="false">
      <c r="B87" s="106" t="n">
        <v>3</v>
      </c>
      <c r="C87" s="1" t="s">
        <v>122</v>
      </c>
      <c r="T87" s="1" t="s">
        <v>123</v>
      </c>
      <c r="Y87" s="1" t="s">
        <v>124</v>
      </c>
      <c r="AC87" s="94" t="s">
        <v>125</v>
      </c>
    </row>
    <row r="88" customFormat="false" ht="12.75" hidden="true" customHeight="false" outlineLevel="0" collapsed="false">
      <c r="B88" s="106" t="n">
        <v>4</v>
      </c>
      <c r="C88" s="1" t="s">
        <v>126</v>
      </c>
      <c r="T88" s="1" t="s">
        <v>127</v>
      </c>
      <c r="Y88" s="1" t="s">
        <v>128</v>
      </c>
      <c r="AC88" s="94" t="s">
        <v>129</v>
      </c>
    </row>
    <row r="89" customFormat="false" ht="12.75" hidden="true" customHeight="false" outlineLevel="0" collapsed="false">
      <c r="B89" s="106" t="n">
        <v>5</v>
      </c>
      <c r="C89" s="1" t="s">
        <v>130</v>
      </c>
      <c r="T89" s="1" t="s">
        <v>131</v>
      </c>
      <c r="Y89" s="1" t="s">
        <v>132</v>
      </c>
      <c r="AC89" s="94" t="s">
        <v>133</v>
      </c>
    </row>
    <row r="90" customFormat="false" ht="12.75" hidden="true" customHeight="false" outlineLevel="0" collapsed="false">
      <c r="B90" s="106" t="n">
        <v>6</v>
      </c>
      <c r="C90" s="1" t="s">
        <v>134</v>
      </c>
      <c r="T90" s="1" t="s">
        <v>135</v>
      </c>
      <c r="Y90" s="1" t="s">
        <v>136</v>
      </c>
      <c r="AC90" s="94" t="s">
        <v>137</v>
      </c>
    </row>
    <row r="91" customFormat="false" ht="12.75" hidden="true" customHeight="false" outlineLevel="0" collapsed="false">
      <c r="B91" s="106" t="n">
        <v>7</v>
      </c>
      <c r="C91" s="1" t="s">
        <v>138</v>
      </c>
      <c r="F91" s="107"/>
      <c r="T91" s="1" t="s">
        <v>30</v>
      </c>
      <c r="Y91" s="1" t="s">
        <v>139</v>
      </c>
      <c r="AC91" s="94" t="s">
        <v>140</v>
      </c>
    </row>
    <row r="92" customFormat="false" ht="12.75" hidden="true" customHeight="false" outlineLevel="0" collapsed="false">
      <c r="B92" s="108" t="n">
        <v>8</v>
      </c>
      <c r="C92" s="109" t="s">
        <v>141</v>
      </c>
      <c r="D92" s="109"/>
      <c r="E92" s="109"/>
      <c r="F92" s="110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Y92" s="1" t="s">
        <v>142</v>
      </c>
      <c r="AC92" s="94" t="s">
        <v>143</v>
      </c>
    </row>
    <row r="93" customFormat="false" ht="12.75" hidden="true" customHeight="false" outlineLevel="0" collapsed="false">
      <c r="G93" s="107"/>
      <c r="Y93" s="1" t="s">
        <v>144</v>
      </c>
      <c r="AC93" s="94" t="s">
        <v>34</v>
      </c>
    </row>
    <row r="94" customFormat="false" ht="12.75" hidden="true" customHeight="false" outlineLevel="0" collapsed="false">
      <c r="G94" s="107"/>
      <c r="Y94" s="1" t="s">
        <v>145</v>
      </c>
      <c r="AC94" s="94" t="s">
        <v>146</v>
      </c>
    </row>
    <row r="95" customFormat="false" ht="12.75" hidden="true" customHeight="false" outlineLevel="0" collapsed="false">
      <c r="G95" s="107"/>
      <c r="Y95" s="1" t="s">
        <v>147</v>
      </c>
      <c r="AC95" s="94" t="s">
        <v>148</v>
      </c>
    </row>
    <row r="96" customFormat="false" ht="12.75" hidden="true" customHeight="false" outlineLevel="0" collapsed="false">
      <c r="G96" s="107"/>
      <c r="Y96" s="1" t="s">
        <v>149</v>
      </c>
      <c r="AC96" s="94" t="s">
        <v>150</v>
      </c>
    </row>
    <row r="97" customFormat="false" ht="12.75" hidden="true" customHeight="false" outlineLevel="0" collapsed="false">
      <c r="G97" s="107"/>
      <c r="Y97" s="1" t="s">
        <v>32</v>
      </c>
      <c r="AC97" s="94" t="s">
        <v>151</v>
      </c>
    </row>
    <row r="98" customFormat="false" ht="12.75" hidden="true" customHeight="false" outlineLevel="0" collapsed="false">
      <c r="G98" s="107"/>
      <c r="AC98" s="94" t="s">
        <v>152</v>
      </c>
    </row>
    <row r="99" customFormat="false" ht="12.75" hidden="true" customHeight="false" outlineLevel="0" collapsed="false">
      <c r="G99" s="2"/>
      <c r="AC99" s="94" t="s">
        <v>153</v>
      </c>
    </row>
    <row r="100" customFormat="false" ht="12.75" hidden="true" customHeight="false" outlineLevel="0" collapsed="false">
      <c r="G100" s="2"/>
      <c r="AC100" s="94" t="s">
        <v>154</v>
      </c>
    </row>
    <row r="101" customFormat="false" ht="12.75" hidden="true" customHeight="false" outlineLevel="0" collapsed="false">
      <c r="G101" s="2"/>
      <c r="AC101" s="94" t="s">
        <v>155</v>
      </c>
    </row>
    <row r="102" customFormat="false" ht="12.75" hidden="true" customHeight="false" outlineLevel="0" collapsed="false">
      <c r="G102" s="2"/>
      <c r="AC102" s="94" t="s">
        <v>156</v>
      </c>
    </row>
    <row r="103" customFormat="false" ht="12.75" hidden="true" customHeight="false" outlineLevel="0" collapsed="false">
      <c r="G103" s="2"/>
      <c r="AC103" s="94" t="s">
        <v>157</v>
      </c>
    </row>
    <row r="104" customFormat="false" ht="12.75" hidden="true" customHeight="false" outlineLevel="0" collapsed="false">
      <c r="G104" s="2"/>
      <c r="AC104" s="94"/>
    </row>
    <row r="105" customFormat="false" ht="12.75" hidden="true" customHeight="false" outlineLevel="0" collapsed="false"/>
    <row r="106" customFormat="false" ht="12.75" hidden="true" customHeight="false" outlineLevel="0" collapsed="false"/>
    <row r="107" customFormat="false" ht="12.75" hidden="true" customHeight="false" outlineLevel="0" collapsed="false"/>
    <row r="108" customFormat="false" ht="12.75" hidden="true" customHeight="false" outlineLevel="0" collapsed="false"/>
    <row r="109" customFormat="false" ht="12.75" hidden="true" customHeight="false" outlineLevel="0" collapsed="false"/>
    <row r="110" customFormat="false" ht="12.75" hidden="true" customHeight="false" outlineLevel="0" collapsed="false"/>
    <row r="111" customFormat="false" ht="12.75" hidden="true" customHeight="false" outlineLevel="0" collapsed="false"/>
    <row r="112" customFormat="false" ht="12.75" hidden="true" customHeight="false" outlineLevel="0" collapsed="false"/>
    <row r="113" customFormat="false" ht="12.75" hidden="true" customHeight="false" outlineLevel="0" collapsed="false"/>
    <row r="114" customFormat="false" ht="12.75" hidden="true" customHeight="false" outlineLevel="0" collapsed="false"/>
    <row r="115" customFormat="false" ht="12.75" hidden="true" customHeight="false" outlineLevel="0" collapsed="false"/>
    <row r="116" customFormat="false" ht="12.75" hidden="true" customHeight="false" outlineLevel="0" collapsed="false"/>
    <row r="117" customFormat="false" ht="12.75" hidden="true" customHeight="false" outlineLevel="0" collapsed="false"/>
    <row r="118" customFormat="false" ht="12.75" hidden="true" customHeight="false" outlineLevel="0" collapsed="false"/>
    <row r="119" customFormat="false" ht="12.75" hidden="true" customHeight="false" outlineLevel="0" collapsed="false"/>
    <row r="120" customFormat="false" ht="12.75" hidden="true" customHeight="false" outlineLevel="0" collapsed="false"/>
    <row r="251" customFormat="false" ht="12.75" hidden="false" customHeight="false" outlineLevel="0" collapsed="false">
      <c r="A251" s="106" t="s">
        <v>158</v>
      </c>
    </row>
    <row r="253" customFormat="false" ht="12.75" hidden="false" customHeight="false" outlineLevel="0" collapsed="false">
      <c r="F253" s="2" t="s">
        <v>159</v>
      </c>
      <c r="P253" s="33" t="s">
        <v>160</v>
      </c>
      <c r="Q253" s="33" t="s">
        <v>161</v>
      </c>
    </row>
    <row r="254" customFormat="false" ht="15.75" hidden="false" customHeight="true" outlineLevel="0" collapsed="false">
      <c r="F254" s="2" t="s">
        <v>162</v>
      </c>
      <c r="O254" s="111"/>
      <c r="P254" s="33"/>
      <c r="Q254" s="33" t="n">
        <v>5</v>
      </c>
    </row>
    <row r="255" customFormat="false" ht="15.75" hidden="false" customHeight="true" outlineLevel="0" collapsed="false">
      <c r="F255" s="2" t="s">
        <v>163</v>
      </c>
      <c r="O255" s="112"/>
      <c r="P255" s="33" t="n">
        <v>5</v>
      </c>
      <c r="Q255" s="33" t="n">
        <v>10</v>
      </c>
    </row>
    <row r="256" customFormat="false" ht="15.75" hidden="false" customHeight="true" outlineLevel="0" collapsed="false">
      <c r="F256" s="2" t="s">
        <v>164</v>
      </c>
      <c r="O256" s="113"/>
      <c r="P256" s="33" t="n">
        <v>10</v>
      </c>
      <c r="Q256" s="33" t="n">
        <v>40</v>
      </c>
    </row>
    <row r="257" customFormat="false" ht="15.75" hidden="false" customHeight="true" outlineLevel="0" collapsed="false">
      <c r="F257" s="2" t="s">
        <v>165</v>
      </c>
      <c r="O257" s="112"/>
      <c r="P257" s="33" t="n">
        <v>40</v>
      </c>
      <c r="Q257" s="33" t="n">
        <v>50</v>
      </c>
    </row>
    <row r="258" customFormat="false" ht="15.75" hidden="false" customHeight="true" outlineLevel="0" collapsed="false">
      <c r="F258" s="2" t="s">
        <v>166</v>
      </c>
      <c r="O258" s="111"/>
      <c r="P258" s="33" t="n">
        <v>50</v>
      </c>
      <c r="Q258" s="33"/>
    </row>
    <row r="259" customFormat="false" ht="12.75" hidden="false" customHeight="false" outlineLevel="0" collapsed="false">
      <c r="F259" s="2" t="s">
        <v>167</v>
      </c>
    </row>
    <row r="260" customFormat="false" ht="12.75" hidden="false" customHeight="false" outlineLevel="0" collapsed="false">
      <c r="F260" s="2" t="s">
        <v>168</v>
      </c>
    </row>
    <row r="261" customFormat="false" ht="12.75" hidden="false" customHeight="false" outlineLevel="0" collapsed="false">
      <c r="F261" s="2" t="s">
        <v>169</v>
      </c>
    </row>
    <row r="262" customFormat="false" ht="12.75" hidden="false" customHeight="false" outlineLevel="0" collapsed="false">
      <c r="F262" s="2" t="s">
        <v>170</v>
      </c>
    </row>
    <row r="263" customFormat="false" ht="12.75" hidden="false" customHeight="false" outlineLevel="0" collapsed="false">
      <c r="F263" s="2" t="s">
        <v>171</v>
      </c>
    </row>
    <row r="264" customFormat="false" ht="12.75" hidden="false" customHeight="false" outlineLevel="0" collapsed="false">
      <c r="F264" s="2" t="s">
        <v>172</v>
      </c>
    </row>
    <row r="265" customFormat="false" ht="12.75" hidden="false" customHeight="false" outlineLevel="0" collapsed="false">
      <c r="F265" s="2" t="s">
        <v>173</v>
      </c>
    </row>
    <row r="266" customFormat="false" ht="12.75" hidden="false" customHeight="false" outlineLevel="0" collapsed="false">
      <c r="F266" s="2" t="s">
        <v>174</v>
      </c>
    </row>
    <row r="267" customFormat="false" ht="12.75" hidden="false" customHeight="false" outlineLevel="0" collapsed="false">
      <c r="F267" s="2" t="s">
        <v>175</v>
      </c>
    </row>
    <row r="268" customFormat="false" ht="12.75" hidden="false" customHeight="false" outlineLevel="0" collapsed="false">
      <c r="F268" s="2" t="s">
        <v>176</v>
      </c>
    </row>
    <row r="269" customFormat="false" ht="12.75" hidden="false" customHeight="false" outlineLevel="0" collapsed="false">
      <c r="F269" s="2" t="s">
        <v>177</v>
      </c>
    </row>
    <row r="270" customFormat="false" ht="12.75" hidden="false" customHeight="false" outlineLevel="0" collapsed="false">
      <c r="F270" s="2" t="s">
        <v>178</v>
      </c>
    </row>
    <row r="271" customFormat="false" ht="12.75" hidden="false" customHeight="false" outlineLevel="0" collapsed="false">
      <c r="F271" s="2" t="s">
        <v>179</v>
      </c>
    </row>
    <row r="272" customFormat="false" ht="12.75" hidden="false" customHeight="false" outlineLevel="0" collapsed="false">
      <c r="F272" s="2" t="s">
        <v>180</v>
      </c>
    </row>
    <row r="273" customFormat="false" ht="12.75" hidden="false" customHeight="false" outlineLevel="0" collapsed="false">
      <c r="F273" s="2" t="s">
        <v>127</v>
      </c>
    </row>
    <row r="274" customFormat="false" ht="12.75" hidden="false" customHeight="false" outlineLevel="0" collapsed="false">
      <c r="F274" s="2" t="s">
        <v>181</v>
      </c>
    </row>
    <row r="275" customFormat="false" ht="12.75" hidden="false" customHeight="false" outlineLevel="0" collapsed="false">
      <c r="F275" s="2" t="s">
        <v>182</v>
      </c>
    </row>
    <row r="276" customFormat="false" ht="12.75" hidden="false" customHeight="false" outlineLevel="0" collapsed="false">
      <c r="F276" s="2" t="s">
        <v>183</v>
      </c>
    </row>
    <row r="277" customFormat="false" ht="12.75" hidden="false" customHeight="false" outlineLevel="0" collapsed="false">
      <c r="F277" s="2" t="s">
        <v>184</v>
      </c>
    </row>
    <row r="278" customFormat="false" ht="12.75" hidden="false" customHeight="false" outlineLevel="0" collapsed="false">
      <c r="F278" s="2" t="s">
        <v>185</v>
      </c>
    </row>
    <row r="279" customFormat="false" ht="12.75" hidden="false" customHeight="false" outlineLevel="0" collapsed="false">
      <c r="F279" s="2" t="s">
        <v>186</v>
      </c>
    </row>
    <row r="280" customFormat="false" ht="12.75" hidden="false" customHeight="false" outlineLevel="0" collapsed="false">
      <c r="F280" s="2" t="s">
        <v>6</v>
      </c>
    </row>
    <row r="281" customFormat="false" ht="12.75" hidden="false" customHeight="false" outlineLevel="0" collapsed="false">
      <c r="F281" s="2" t="s">
        <v>187</v>
      </c>
    </row>
    <row r="282" customFormat="false" ht="12.75" hidden="false" customHeight="false" outlineLevel="0" collapsed="false">
      <c r="F282" s="1" t="s">
        <v>188</v>
      </c>
    </row>
  </sheetData>
  <sheetProtection sheet="true" password="c43f" objects="true" scenarios="true" formatRows="false" autoFilter="false"/>
  <mergeCells count="154">
    <mergeCell ref="T2:W2"/>
    <mergeCell ref="B3:B5"/>
    <mergeCell ref="C3:E3"/>
    <mergeCell ref="F3:Q5"/>
    <mergeCell ref="R3:W3"/>
    <mergeCell ref="C4:E5"/>
    <mergeCell ref="R4:W5"/>
    <mergeCell ref="B6:W6"/>
    <mergeCell ref="B7:W7"/>
    <mergeCell ref="B8:W8"/>
    <mergeCell ref="B9:W9"/>
    <mergeCell ref="B10:W10"/>
    <mergeCell ref="B11:C11"/>
    <mergeCell ref="D11:R11"/>
    <mergeCell ref="S11:W11"/>
    <mergeCell ref="B12:C12"/>
    <mergeCell ref="D12:F12"/>
    <mergeCell ref="G12:J12"/>
    <mergeCell ref="K12:M12"/>
    <mergeCell ref="N12:O12"/>
    <mergeCell ref="P12:R12"/>
    <mergeCell ref="S12:U12"/>
    <mergeCell ref="B13:C15"/>
    <mergeCell ref="D13:R15"/>
    <mergeCell ref="S13:U13"/>
    <mergeCell ref="B16:C16"/>
    <mergeCell ref="D16:R16"/>
    <mergeCell ref="S16:U16"/>
    <mergeCell ref="V16:W16"/>
    <mergeCell ref="B17:W17"/>
    <mergeCell ref="B18:C18"/>
    <mergeCell ref="D18:H18"/>
    <mergeCell ref="I18:L18"/>
    <mergeCell ref="M18:P18"/>
    <mergeCell ref="Q18:S18"/>
    <mergeCell ref="T18:W18"/>
    <mergeCell ref="B19:C19"/>
    <mergeCell ref="D19:H19"/>
    <mergeCell ref="I19:L19"/>
    <mergeCell ref="M19:P19"/>
    <mergeCell ref="Q19:S19"/>
    <mergeCell ref="T19:W19"/>
    <mergeCell ref="B20:W20"/>
    <mergeCell ref="B21:C21"/>
    <mergeCell ref="F21:G21"/>
    <mergeCell ref="H21:J21"/>
    <mergeCell ref="L21:M21"/>
    <mergeCell ref="N21:O21"/>
    <mergeCell ref="P21:Q21"/>
    <mergeCell ref="R21:S21"/>
    <mergeCell ref="T21:U21"/>
    <mergeCell ref="B22:C22"/>
    <mergeCell ref="F22:G22"/>
    <mergeCell ref="H22:J22"/>
    <mergeCell ref="L22:M22"/>
    <mergeCell ref="N22:O22"/>
    <mergeCell ref="P22:Q22"/>
    <mergeCell ref="R22:S22"/>
    <mergeCell ref="T22:U22"/>
    <mergeCell ref="B23:C23"/>
    <mergeCell ref="F23:G23"/>
    <mergeCell ref="H23:J23"/>
    <mergeCell ref="L23:M23"/>
    <mergeCell ref="N23:O23"/>
    <mergeCell ref="P23:Q23"/>
    <mergeCell ref="R23:S23"/>
    <mergeCell ref="T23:U23"/>
    <mergeCell ref="B24:W24"/>
    <mergeCell ref="G25:M25"/>
    <mergeCell ref="N25:O26"/>
    <mergeCell ref="P25:R26"/>
    <mergeCell ref="S25:W25"/>
    <mergeCell ref="G26:M26"/>
    <mergeCell ref="S26:W37"/>
    <mergeCell ref="G27:M27"/>
    <mergeCell ref="N27:O27"/>
    <mergeCell ref="P27:R27"/>
    <mergeCell ref="G28:M28"/>
    <mergeCell ref="N28:O28"/>
    <mergeCell ref="P28:R28"/>
    <mergeCell ref="G29:M29"/>
    <mergeCell ref="N29:O29"/>
    <mergeCell ref="P29:R29"/>
    <mergeCell ref="G30:M30"/>
    <mergeCell ref="N30:O30"/>
    <mergeCell ref="P30:R30"/>
    <mergeCell ref="G31:M31"/>
    <mergeCell ref="N31:O31"/>
    <mergeCell ref="P31:R31"/>
    <mergeCell ref="G32:M32"/>
    <mergeCell ref="N32:O32"/>
    <mergeCell ref="P32:R32"/>
    <mergeCell ref="G33:M33"/>
    <mergeCell ref="N33:O33"/>
    <mergeCell ref="P33:R33"/>
    <mergeCell ref="G34:M34"/>
    <mergeCell ref="N34:O34"/>
    <mergeCell ref="P34:R34"/>
    <mergeCell ref="G35:M35"/>
    <mergeCell ref="N35:O35"/>
    <mergeCell ref="P35:R35"/>
    <mergeCell ref="G36:M36"/>
    <mergeCell ref="N36:O36"/>
    <mergeCell ref="P36:R36"/>
    <mergeCell ref="G37:M37"/>
    <mergeCell ref="N37:O37"/>
    <mergeCell ref="P37:R37"/>
    <mergeCell ref="B38:W39"/>
    <mergeCell ref="B40:W40"/>
    <mergeCell ref="B41:C41"/>
    <mergeCell ref="D41:L41"/>
    <mergeCell ref="M41:W41"/>
    <mergeCell ref="B42:C42"/>
    <mergeCell ref="D42:L42"/>
    <mergeCell ref="M42:W42"/>
    <mergeCell ref="B43:C43"/>
    <mergeCell ref="D43:L43"/>
    <mergeCell ref="M43:W43"/>
    <mergeCell ref="B44:C44"/>
    <mergeCell ref="D44:L44"/>
    <mergeCell ref="M44:W44"/>
    <mergeCell ref="B45:C45"/>
    <mergeCell ref="D45:L45"/>
    <mergeCell ref="M45:W45"/>
    <mergeCell ref="B46:C46"/>
    <mergeCell ref="D46:L46"/>
    <mergeCell ref="M46:W46"/>
    <mergeCell ref="B47:C47"/>
    <mergeCell ref="D47:L47"/>
    <mergeCell ref="M47:W47"/>
    <mergeCell ref="B48:C48"/>
    <mergeCell ref="D48:L48"/>
    <mergeCell ref="M48:W48"/>
    <mergeCell ref="B49:C49"/>
    <mergeCell ref="D49:L49"/>
    <mergeCell ref="M49:W49"/>
    <mergeCell ref="B50:C50"/>
    <mergeCell ref="D50:L50"/>
    <mergeCell ref="M50:W50"/>
    <mergeCell ref="B51:C51"/>
    <mergeCell ref="D51:L51"/>
    <mergeCell ref="M51:W51"/>
    <mergeCell ref="B52:C52"/>
    <mergeCell ref="D52:L52"/>
    <mergeCell ref="M52:W52"/>
    <mergeCell ref="B53:C53"/>
    <mergeCell ref="D53:L53"/>
    <mergeCell ref="M53:W53"/>
    <mergeCell ref="B54:W54"/>
    <mergeCell ref="B55:W59"/>
    <mergeCell ref="D78:E78"/>
    <mergeCell ref="AG78:AH78"/>
    <mergeCell ref="AE79:AE83"/>
    <mergeCell ref="B80:B82"/>
  </mergeCells>
  <conditionalFormatting sqref="C37">
    <cfRule type="expression" priority="2" aboveAverage="0" equalAverage="0" bottom="0" percent="0" rank="0" text="" dxfId="0">
      <formula>OR(ISBLANK($W$22),ISBLANK($W$23))</formula>
    </cfRule>
    <cfRule type="cellIs" priority="3" operator="lessThan" aboveAverage="0" equalAverage="0" bottom="0" percent="0" rank="0" text="" dxfId="1">
      <formula>$V$14</formula>
    </cfRule>
    <cfRule type="cellIs" priority="4" operator="lessThan" aboveAverage="0" equalAverage="0" bottom="0" percent="0" rank="0" text="" dxfId="2">
      <formula>$V$13</formula>
    </cfRule>
    <cfRule type="cellIs" priority="5" operator="between" aboveAverage="0" equalAverage="0" bottom="0" percent="0" rank="0" text="" dxfId="3">
      <formula>$V$13</formula>
      <formula>$W$13</formula>
    </cfRule>
    <cfRule type="cellIs" priority="6" operator="lessThanOrEqual" aboveAverage="0" equalAverage="0" bottom="0" percent="0" rank="0" text="" dxfId="2">
      <formula>$W$14</formula>
    </cfRule>
    <cfRule type="cellIs" priority="7" operator="greaterThan" aboveAverage="0" equalAverage="0" bottom="0" percent="0" rank="0" text="" dxfId="1">
      <formula>$W$14</formula>
    </cfRule>
  </conditionalFormatting>
  <conditionalFormatting sqref="C36">
    <cfRule type="expression" priority="8" aboveAverage="0" equalAverage="0" bottom="0" percent="0" rank="0" text="" dxfId="0">
      <formula>OR(ISBLANK($V$22),ISBLANK($V$23))</formula>
    </cfRule>
    <cfRule type="cellIs" priority="9" operator="lessThan" aboveAverage="0" equalAverage="0" bottom="0" percent="0" rank="0" text="" dxfId="1">
      <formula>$V$14</formula>
    </cfRule>
    <cfRule type="cellIs" priority="10" operator="lessThan" aboveAverage="0" equalAverage="0" bottom="0" percent="0" rank="0" text="" dxfId="2">
      <formula>$V$13</formula>
    </cfRule>
    <cfRule type="cellIs" priority="11" operator="between" aboveAverage="0" equalAverage="0" bottom="0" percent="0" rank="0" text="" dxfId="3">
      <formula>$V$13</formula>
      <formula>$W$13</formula>
    </cfRule>
    <cfRule type="cellIs" priority="12" operator="lessThanOrEqual" aboveAverage="0" equalAverage="0" bottom="0" percent="0" rank="0" text="" dxfId="2">
      <formula>$W$14</formula>
    </cfRule>
    <cfRule type="cellIs" priority="13" operator="greaterThan" aboveAverage="0" equalAverage="0" bottom="0" percent="0" rank="0" text="" dxfId="1">
      <formula>$W$14</formula>
    </cfRule>
  </conditionalFormatting>
  <conditionalFormatting sqref="C35">
    <cfRule type="expression" priority="14" aboveAverage="0" equalAverage="0" bottom="0" percent="0" rank="0" text="" dxfId="0">
      <formula>OR(ISBLANK($T$22),ISBLANK($T$23))</formula>
    </cfRule>
    <cfRule type="cellIs" priority="15" operator="lessThan" aboveAverage="0" equalAverage="0" bottom="0" percent="0" rank="0" text="" dxfId="1">
      <formula>$V$14</formula>
    </cfRule>
    <cfRule type="cellIs" priority="16" operator="lessThan" aboveAverage="0" equalAverage="0" bottom="0" percent="0" rank="0" text="" dxfId="2">
      <formula>$V$13</formula>
    </cfRule>
    <cfRule type="cellIs" priority="17" operator="between" aboveAverage="0" equalAverage="0" bottom="0" percent="0" rank="0" text="" dxfId="3">
      <formula>$V$13</formula>
      <formula>$W$13</formula>
    </cfRule>
    <cfRule type="cellIs" priority="18" operator="lessThanOrEqual" aboveAverage="0" equalAverage="0" bottom="0" percent="0" rank="0" text="" dxfId="2">
      <formula>$W$14</formula>
    </cfRule>
    <cfRule type="cellIs" priority="19" operator="greaterThan" aboveAverage="0" equalAverage="0" bottom="0" percent="0" rank="0" text="" dxfId="1">
      <formula>$W$14</formula>
    </cfRule>
  </conditionalFormatting>
  <conditionalFormatting sqref="C34">
    <cfRule type="expression" priority="20" aboveAverage="0" equalAverage="0" bottom="0" percent="0" rank="0" text="" dxfId="0">
      <formula>OR(ISBLANK($R$22),ISBLANK($R$23))</formula>
    </cfRule>
    <cfRule type="cellIs" priority="21" operator="lessThan" aboveAverage="0" equalAverage="0" bottom="0" percent="0" rank="0" text="" dxfId="1">
      <formula>$V$14</formula>
    </cfRule>
    <cfRule type="cellIs" priority="22" operator="lessThan" aboveAverage="0" equalAverage="0" bottom="0" percent="0" rank="0" text="" dxfId="2">
      <formula>$V$13</formula>
    </cfRule>
    <cfRule type="cellIs" priority="23" operator="between" aboveAverage="0" equalAverage="0" bottom="0" percent="0" rank="0" text="" dxfId="3">
      <formula>$V$13</formula>
      <formula>$W$13</formula>
    </cfRule>
    <cfRule type="cellIs" priority="24" operator="lessThanOrEqual" aboveAverage="0" equalAverage="0" bottom="0" percent="0" rank="0" text="" dxfId="2">
      <formula>$W$14</formula>
    </cfRule>
    <cfRule type="cellIs" priority="25" operator="greaterThan" aboveAverage="0" equalAverage="0" bottom="0" percent="0" rank="0" text="" dxfId="1">
      <formula>$W$14</formula>
    </cfRule>
  </conditionalFormatting>
  <conditionalFormatting sqref="C33">
    <cfRule type="expression" priority="26" aboveAverage="0" equalAverage="0" bottom="0" percent="0" rank="0" text="" dxfId="0">
      <formula>OR(ISBLANK($P$22),ISBLANK($P$23))</formula>
    </cfRule>
    <cfRule type="cellIs" priority="27" operator="lessThan" aboveAverage="0" equalAverage="0" bottom="0" percent="0" rank="0" text="" dxfId="1">
      <formula>$V$14</formula>
    </cfRule>
    <cfRule type="cellIs" priority="28" operator="lessThan" aboveAverage="0" equalAverage="0" bottom="0" percent="0" rank="0" text="" dxfId="2">
      <formula>$V$13</formula>
    </cfRule>
    <cfRule type="cellIs" priority="29" operator="between" aboveAverage="0" equalAverage="0" bottom="0" percent="0" rank="0" text="" dxfId="3">
      <formula>$V$13</formula>
      <formula>$W$13</formula>
    </cfRule>
    <cfRule type="cellIs" priority="30" operator="lessThanOrEqual" aboveAverage="0" equalAverage="0" bottom="0" percent="0" rank="0" text="" dxfId="2">
      <formula>$W$14</formula>
    </cfRule>
    <cfRule type="cellIs" priority="31" operator="greaterThan" aboveAverage="0" equalAverage="0" bottom="0" percent="0" rank="0" text="" dxfId="1">
      <formula>$W$14</formula>
    </cfRule>
  </conditionalFormatting>
  <conditionalFormatting sqref="C32">
    <cfRule type="expression" priority="32" aboveAverage="0" equalAverage="0" bottom="0" percent="0" rank="0" text="" dxfId="0">
      <formula>OR(ISBLANK($N$22),ISBLANK($N$23))</formula>
    </cfRule>
    <cfRule type="cellIs" priority="33" operator="lessThan" aboveAverage="0" equalAverage="0" bottom="0" percent="0" rank="0" text="" dxfId="1">
      <formula>$V$14</formula>
    </cfRule>
    <cfRule type="cellIs" priority="34" operator="lessThan" aboveAverage="0" equalAverage="0" bottom="0" percent="0" rank="0" text="" dxfId="2">
      <formula>$V$13</formula>
    </cfRule>
    <cfRule type="cellIs" priority="35" operator="between" aboveAverage="0" equalAverage="0" bottom="0" percent="0" rank="0" text="" dxfId="3">
      <formula>$V$13</formula>
      <formula>$W$13</formula>
    </cfRule>
    <cfRule type="cellIs" priority="36" operator="lessThanOrEqual" aboveAverage="0" equalAverage="0" bottom="0" percent="0" rank="0" text="" dxfId="2">
      <formula>$W$14</formula>
    </cfRule>
    <cfRule type="cellIs" priority="37" operator="greaterThan" aboveAverage="0" equalAverage="0" bottom="0" percent="0" rank="0" text="" dxfId="1">
      <formula>$W$14</formula>
    </cfRule>
  </conditionalFormatting>
  <conditionalFormatting sqref="C31">
    <cfRule type="expression" priority="38" aboveAverage="0" equalAverage="0" bottom="0" percent="0" rank="0" text="" dxfId="0">
      <formula>OR(ISBLANK($L$22),ISBLANK($L$23))</formula>
    </cfRule>
    <cfRule type="cellIs" priority="39" operator="lessThan" aboveAverage="0" equalAverage="0" bottom="0" percent="0" rank="0" text="" dxfId="1">
      <formula>$V$14</formula>
    </cfRule>
    <cfRule type="cellIs" priority="40" operator="lessThan" aboveAverage="0" equalAverage="0" bottom="0" percent="0" rank="0" text="" dxfId="2">
      <formula>$V$13</formula>
    </cfRule>
    <cfRule type="cellIs" priority="41" operator="between" aboveAverage="0" equalAverage="0" bottom="0" percent="0" rank="0" text="" dxfId="3">
      <formula>$V$13</formula>
      <formula>$W$13</formula>
    </cfRule>
    <cfRule type="cellIs" priority="42" operator="lessThanOrEqual" aboveAverage="0" equalAverage="0" bottom="0" percent="0" rank="0" text="" dxfId="2">
      <formula>$W$14</formula>
    </cfRule>
    <cfRule type="cellIs" priority="43" operator="greaterThan" aboveAverage="0" equalAverage="0" bottom="0" percent="0" rank="0" text="" dxfId="1">
      <formula>$W$14</formula>
    </cfRule>
  </conditionalFormatting>
  <conditionalFormatting sqref="C30">
    <cfRule type="expression" priority="44" aboveAverage="0" equalAverage="0" bottom="0" percent="0" rank="0" text="" dxfId="0">
      <formula>OR(ISBLANK($K$22),ISBLANK($K$23))</formula>
    </cfRule>
    <cfRule type="cellIs" priority="45" operator="lessThan" aboveAverage="0" equalAverage="0" bottom="0" percent="0" rank="0" text="" dxfId="1">
      <formula>$V$14</formula>
    </cfRule>
    <cfRule type="cellIs" priority="46" operator="lessThan" aboveAverage="0" equalAverage="0" bottom="0" percent="0" rank="0" text="" dxfId="2">
      <formula>$V$13</formula>
    </cfRule>
    <cfRule type="cellIs" priority="47" operator="between" aboveAverage="0" equalAverage="0" bottom="0" percent="0" rank="0" text="" dxfId="3">
      <formula>$V$13</formula>
      <formula>$W$13</formula>
    </cfRule>
    <cfRule type="cellIs" priority="48" operator="lessThanOrEqual" aboveAverage="0" equalAverage="0" bottom="0" percent="0" rank="0" text="" dxfId="2">
      <formula>$W$14</formula>
    </cfRule>
    <cfRule type="cellIs" priority="49" operator="greaterThan" aboveAverage="0" equalAverage="0" bottom="0" percent="0" rank="0" text="" dxfId="1">
      <formula>$W$14</formula>
    </cfRule>
  </conditionalFormatting>
  <conditionalFormatting sqref="C29">
    <cfRule type="expression" priority="50" aboveAverage="0" equalAverage="0" bottom="0" percent="0" rank="0" text="" dxfId="0">
      <formula>OR(ISBLANK($H$22),ISBLANK($H$23))</formula>
    </cfRule>
    <cfRule type="cellIs" priority="51" operator="lessThan" aboveAverage="0" equalAverage="0" bottom="0" percent="0" rank="0" text="" dxfId="1">
      <formula>$V$14</formula>
    </cfRule>
    <cfRule type="cellIs" priority="52" operator="lessThan" aboveAverage="0" equalAverage="0" bottom="0" percent="0" rank="0" text="" dxfId="2">
      <formula>$V$13</formula>
    </cfRule>
    <cfRule type="cellIs" priority="53" operator="between" aboveAverage="0" equalAverage="0" bottom="0" percent="0" rank="0" text="" dxfId="3">
      <formula>$V$13</formula>
      <formula>$W$13</formula>
    </cfRule>
    <cfRule type="cellIs" priority="54" operator="lessThanOrEqual" aboveAverage="0" equalAverage="0" bottom="0" percent="0" rank="0" text="" dxfId="2">
      <formula>$W$14</formula>
    </cfRule>
    <cfRule type="cellIs" priority="55" operator="greaterThan" aboveAverage="0" equalAverage="0" bottom="0" percent="0" rank="0" text="" dxfId="1">
      <formula>$W$14</formula>
    </cfRule>
  </conditionalFormatting>
  <conditionalFormatting sqref="C28">
    <cfRule type="expression" priority="56" aboveAverage="0" equalAverage="0" bottom="0" percent="0" rank="0" text="" dxfId="0">
      <formula>OR(ISBLANK($F$22),ISBLANK($F$23))</formula>
    </cfRule>
    <cfRule type="cellIs" priority="57" operator="lessThan" aboveAverage="0" equalAverage="0" bottom="0" percent="0" rank="0" text="" dxfId="1">
      <formula>$V$14</formula>
    </cfRule>
    <cfRule type="cellIs" priority="58" operator="lessThan" aboveAverage="0" equalAverage="0" bottom="0" percent="0" rank="0" text="" dxfId="2">
      <formula>$V$13</formula>
    </cfRule>
    <cfRule type="cellIs" priority="59" operator="between" aboveAverage="0" equalAverage="0" bottom="0" percent="0" rank="0" text="" dxfId="3">
      <formula>$V$13</formula>
      <formula>$W$13</formula>
    </cfRule>
    <cfRule type="cellIs" priority="60" operator="lessThanOrEqual" aboveAverage="0" equalAverage="0" bottom="0" percent="0" rank="0" text="" dxfId="2">
      <formula>$W$14</formula>
    </cfRule>
    <cfRule type="cellIs" priority="61" operator="greaterThan" aboveAverage="0" equalAverage="0" bottom="0" percent="0" rank="0" text="" dxfId="1">
      <formula>$W$14</formula>
    </cfRule>
  </conditionalFormatting>
  <conditionalFormatting sqref="C27">
    <cfRule type="expression" priority="62" aboveAverage="0" equalAverage="0" bottom="0" percent="0" rank="0" text="" dxfId="0">
      <formula>OR(ISBLANK($E$22),ISBLANK($E$23))</formula>
    </cfRule>
    <cfRule type="cellIs" priority="63" operator="lessThan" aboveAverage="0" equalAverage="0" bottom="0" percent="0" rank="0" text="" dxfId="1">
      <formula>$V$14</formula>
    </cfRule>
    <cfRule type="cellIs" priority="64" operator="lessThan" aboveAverage="0" equalAverage="0" bottom="0" percent="0" rank="0" text="" dxfId="2">
      <formula>$V$13</formula>
    </cfRule>
    <cfRule type="cellIs" priority="65" operator="between" aboveAverage="0" equalAverage="0" bottom="0" percent="0" rank="0" text="" dxfId="3">
      <formula>$V$13</formula>
      <formula>$W$13</formula>
    </cfRule>
    <cfRule type="cellIs" priority="66" operator="lessThanOrEqual" aboveAverage="0" equalAverage="0" bottom="0" percent="0" rank="0" text="" dxfId="2">
      <formula>$W$14</formula>
    </cfRule>
    <cfRule type="cellIs" priority="67" operator="greaterThan" aboveAverage="0" equalAverage="0" bottom="0" percent="0" rank="0" text="" dxfId="1">
      <formula>$W$14</formula>
    </cfRule>
  </conditionalFormatting>
  <conditionalFormatting sqref="C26">
    <cfRule type="expression" priority="68" aboveAverage="0" equalAverage="0" bottom="0" percent="0" rank="0" text="" dxfId="0">
      <formula>OR(ISBLANK($D$22),ISBLANK($D$23))</formula>
    </cfRule>
    <cfRule type="cellIs" priority="69" operator="lessThan" aboveAverage="0" equalAverage="0" bottom="0" percent="0" rank="0" text="" dxfId="1">
      <formula>$V$14</formula>
    </cfRule>
    <cfRule type="cellIs" priority="70" operator="lessThan" aboveAverage="0" equalAverage="0" bottom="0" percent="0" rank="0" text="" dxfId="2">
      <formula>$V$13</formula>
    </cfRule>
    <cfRule type="cellIs" priority="71" operator="between" aboveAverage="0" equalAverage="0" bottom="0" percent="0" rank="0" text="" dxfId="3">
      <formula>$V$13</formula>
      <formula>$W$13</formula>
    </cfRule>
    <cfRule type="cellIs" priority="72" operator="lessThanOrEqual" aboveAverage="0" equalAverage="0" bottom="0" percent="0" rank="0" text="" dxfId="2">
      <formula>$W$14</formula>
    </cfRule>
    <cfRule type="cellIs" priority="73" operator="greaterThan" aboveAverage="0" equalAverage="0" bottom="0" percent="0" rank="0" text="" dxfId="1">
      <formula>$W$14</formula>
    </cfRule>
  </conditionalFormatting>
  <conditionalFormatting sqref="O256">
    <cfRule type="cellIs" priority="74" operator="equal" aboveAverage="0" equalAverage="0" bottom="0" percent="0" rank="0" text="" dxfId="4">
      <formula>$K$12</formula>
    </cfRule>
  </conditionalFormatting>
  <dataValidations count="6">
    <dataValidation allowBlank="true" errorStyle="stop" operator="between" showDropDown="false" showErrorMessage="true" showInputMessage="true" sqref="P12:R12" type="list">
      <formula1>$AF$79:$AF$84</formula1>
      <formula2>0</formula2>
    </dataValidation>
    <dataValidation allowBlank="true" errorStyle="stop" operator="between" showDropDown="false" showErrorMessage="true" showInputMessage="true" sqref="D18:H18" type="list">
      <formula1>$M$79:$M$82</formula1>
      <formula2>0</formula2>
    </dataValidation>
    <dataValidation allowBlank="true" errorStyle="stop" operator="between" showDropDown="false" showErrorMessage="true" showInputMessage="true" sqref="R4:W5" type="list">
      <formula1>$C$80:$C$82</formula1>
      <formula2>0</formula2>
    </dataValidation>
    <dataValidation allowBlank="true" errorStyle="stop" operator="between" showDropDown="false" showErrorMessage="true" showInputMessage="true" sqref="M18:P18" type="list">
      <formula1>$T$79:$T$91</formula1>
      <formula2>0</formula2>
    </dataValidation>
    <dataValidation allowBlank="true" errorStyle="stop" operator="between" showDropDown="false" showErrorMessage="true" showInputMessage="true" sqref="T18:W18" type="list">
      <formula1>$Y$79:$Y$97</formula1>
      <formula2>0</formula2>
    </dataValidation>
    <dataValidation allowBlank="true" errorStyle="stop" operator="between" showDropDown="false" showErrorMessage="true" showInputMessage="true" sqref="D19:H19 M19:P19 T19:W19" type="list">
      <formula1>$AC$79:$AC$103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9" activeCellId="0" sqref="B9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9.42"/>
    <col collapsed="false" customWidth="true" hidden="false" outlineLevel="0" max="3" min="3" style="1" width="13.42"/>
    <col collapsed="false" customWidth="true" hidden="false" outlineLevel="0" max="4" min="4" style="1" width="13.57"/>
    <col collapsed="false" customWidth="true" hidden="false" outlineLevel="0" max="5" min="5" style="1" width="14.29"/>
    <col collapsed="false" customWidth="true" hidden="false" outlineLevel="0" max="6" min="6" style="1" width="8.57"/>
    <col collapsed="false" customWidth="true" hidden="false" outlineLevel="0" max="7" min="7" style="1" width="3.71"/>
    <col collapsed="false" customWidth="true" hidden="false" outlineLevel="0" max="8" min="8" style="1" width="3.57"/>
    <col collapsed="false" customWidth="true" hidden="false" outlineLevel="0" max="9" min="9" style="1" width="3"/>
    <col collapsed="false" customWidth="true" hidden="false" outlineLevel="0" max="10" min="10" style="1" width="5.29"/>
    <col collapsed="false" customWidth="true" hidden="false" outlineLevel="0" max="11" min="11" style="1" width="10.29"/>
    <col collapsed="false" customWidth="true" hidden="false" outlineLevel="0" max="12" min="12" style="1" width="3"/>
    <col collapsed="false" customWidth="true" hidden="false" outlineLevel="0" max="13" min="13" style="1" width="6.85"/>
    <col collapsed="false" customWidth="true" hidden="false" outlineLevel="0" max="14" min="14" style="1" width="6.71"/>
    <col collapsed="false" customWidth="true" hidden="false" outlineLevel="0" max="15" min="15" style="1" width="7.42"/>
    <col collapsed="false" customWidth="true" hidden="false" outlineLevel="0" max="16" min="16" style="1" width="7.15"/>
    <col collapsed="false" customWidth="true" hidden="false" outlineLevel="0" max="18" min="17" style="1" width="7"/>
    <col collapsed="false" customWidth="true" hidden="false" outlineLevel="0" max="19" min="19" style="1" width="2.29"/>
    <col collapsed="false" customWidth="true" hidden="false" outlineLevel="0" max="20" min="20" style="1" width="6.71"/>
    <col collapsed="false" customWidth="true" hidden="false" outlineLevel="0" max="21" min="21" style="1" width="3.71"/>
    <col collapsed="false" customWidth="true" hidden="false" outlineLevel="0" max="22" min="22" style="1" width="9.71"/>
    <col collapsed="false" customWidth="true" hidden="false" outlineLevel="0" max="23" min="23" style="1" width="11.14"/>
    <col collapsed="false" customWidth="true" hidden="false" outlineLevel="0" max="24" min="24" style="1" width="2.15"/>
    <col collapsed="false" customWidth="false" hidden="false" outlineLevel="0" max="26" min="25" style="1" width="11.43"/>
    <col collapsed="false" customWidth="false" hidden="false" outlineLevel="0" max="27" min="27" style="2" width="11.43"/>
    <col collapsed="false" customWidth="false" hidden="false" outlineLevel="0" max="32" min="28" style="1" width="11.43"/>
    <col collapsed="false" customWidth="true" hidden="false" outlineLevel="0" max="33" min="33" style="1" width="8.15"/>
    <col collapsed="false" customWidth="true" hidden="false" outlineLevel="0" max="34" min="34" style="1" width="8.86"/>
    <col collapsed="false" customWidth="true" hidden="false" outlineLevel="0" max="35" min="35" style="1" width="6.57"/>
    <col collapsed="false" customWidth="true" hidden="false" outlineLevel="0" max="37" min="36" style="1" width="6.29"/>
    <col collapsed="false" customWidth="true" hidden="false" outlineLevel="0" max="38" min="38" style="1" width="6"/>
    <col collapsed="false" customWidth="true" hidden="false" outlineLevel="0" max="39" min="39" style="1" width="5.57"/>
    <col collapsed="false" customWidth="true" hidden="false" outlineLevel="0" max="40" min="40" style="1" width="6.85"/>
    <col collapsed="false" customWidth="true" hidden="false" outlineLevel="0" max="41" min="41" style="1" width="5.42"/>
    <col collapsed="false" customWidth="true" hidden="false" outlineLevel="0" max="42" min="42" style="1" width="6"/>
    <col collapsed="false" customWidth="true" hidden="false" outlineLevel="0" max="43" min="43" style="1" width="6.57"/>
    <col collapsed="false" customWidth="true" hidden="false" outlineLevel="0" max="44" min="44" style="1" width="6.43"/>
    <col collapsed="false" customWidth="false" hidden="false" outlineLevel="0" max="16384" min="45" style="1" width="11.43"/>
  </cols>
  <sheetData>
    <row r="1" s="2" customFormat="true" ht="13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2" customFormat="true" ht="15.75" hidden="false" customHeight="true" outlineLevel="0" collapsed="false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1"/>
      <c r="Y2" s="1"/>
      <c r="Z2" s="1"/>
    </row>
    <row r="3" s="2" customFormat="true" ht="19.5" hidden="false" customHeight="true" outlineLevel="0" collapsed="false">
      <c r="B3" s="6"/>
      <c r="C3" s="7" t="s">
        <v>1</v>
      </c>
      <c r="D3" s="7"/>
      <c r="E3" s="7"/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3</v>
      </c>
      <c r="S3" s="9"/>
      <c r="T3" s="9"/>
      <c r="U3" s="9"/>
      <c r="V3" s="9"/>
      <c r="W3" s="9"/>
      <c r="X3" s="1"/>
      <c r="Y3" s="1"/>
      <c r="Z3" s="1"/>
    </row>
    <row r="4" s="2" customFormat="true" ht="15" hidden="false" customHeight="true" outlineLevel="0" collapsed="false">
      <c r="B4" s="6"/>
      <c r="C4" s="10" t="s">
        <v>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1" t="s">
        <v>82</v>
      </c>
      <c r="S4" s="11"/>
      <c r="T4" s="11"/>
      <c r="U4" s="11"/>
      <c r="V4" s="11"/>
      <c r="W4" s="11"/>
      <c r="X4" s="1"/>
      <c r="Y4" s="1"/>
      <c r="Z4" s="1"/>
    </row>
    <row r="5" s="2" customFormat="true" ht="11.25" hidden="false" customHeight="true" outlineLevel="0" collapsed="false">
      <c r="B5" s="6"/>
      <c r="C5" s="10"/>
      <c r="D5" s="10"/>
      <c r="E5" s="1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"/>
      <c r="Y5" s="1"/>
      <c r="Z5" s="1"/>
    </row>
    <row r="6" s="2" customFormat="true" ht="19.5" hidden="false" customHeight="true" outlineLevel="0" collapsed="false">
      <c r="B6" s="12" t="str">
        <f aca="false">IF(ISBLANK(R4)," ",VLOOKUP(R4,C80:E82,2,FALSE()))</f>
        <v>OBJETIVO ORGANIZACIONAL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"/>
      <c r="Y6" s="1"/>
      <c r="Z6" s="1"/>
    </row>
    <row r="7" s="2" customFormat="true" ht="30" hidden="false" customHeight="true" outlineLevel="0" collapsed="false">
      <c r="B7" s="13" t="s">
        <v>122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"/>
      <c r="Y7" s="1"/>
      <c r="Z7" s="1"/>
    </row>
    <row r="8" s="2" customFormat="true" ht="18" hidden="false" customHeight="true" outlineLevel="0" collapsed="false">
      <c r="B8" s="12" t="str">
        <f aca="false">IF(ISBLANK(R4)," ",VLOOKUP(R4,C80:E82,3,FALSE()))</f>
        <v>OBJETIVO ESPECÍFICO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"/>
      <c r="Y8" s="1"/>
      <c r="Z8" s="1"/>
    </row>
    <row r="9" s="2" customFormat="true" ht="39" hidden="false" customHeight="true" outlineLevel="0" collapsed="false">
      <c r="B9" s="13" t="s">
        <v>213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"/>
      <c r="Y9" s="1"/>
      <c r="Z9" s="1"/>
    </row>
    <row r="10" s="2" customFormat="true" ht="24.75" hidden="false" customHeight="true" outlineLevel="0" collapsed="false">
      <c r="B10" s="14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"/>
      <c r="Y10" s="1"/>
      <c r="Z10" s="1"/>
    </row>
    <row r="11" s="2" customFormat="true" ht="30" hidden="false" customHeight="true" outlineLevel="0" collapsed="false">
      <c r="B11" s="15" t="s">
        <v>9</v>
      </c>
      <c r="C11" s="15"/>
      <c r="D11" s="16" t="s">
        <v>214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 t="s">
        <v>11</v>
      </c>
      <c r="T11" s="17"/>
      <c r="U11" s="17"/>
      <c r="V11" s="17"/>
      <c r="W11" s="17"/>
      <c r="X11" s="1"/>
      <c r="Y11" s="1"/>
      <c r="Z11" s="1"/>
    </row>
    <row r="12" s="1" customFormat="true" ht="30" hidden="false" customHeight="true" outlineLevel="0" collapsed="false">
      <c r="B12" s="18" t="s">
        <v>12</v>
      </c>
      <c r="C12" s="18"/>
      <c r="D12" s="16" t="s">
        <v>215</v>
      </c>
      <c r="E12" s="16"/>
      <c r="F12" s="16"/>
      <c r="G12" s="19" t="s">
        <v>14</v>
      </c>
      <c r="H12" s="19"/>
      <c r="I12" s="19"/>
      <c r="J12" s="19"/>
      <c r="K12" s="131" t="s">
        <v>216</v>
      </c>
      <c r="L12" s="131"/>
      <c r="M12" s="131"/>
      <c r="N12" s="20" t="s">
        <v>16</v>
      </c>
      <c r="O12" s="20"/>
      <c r="P12" s="16" t="s">
        <v>17</v>
      </c>
      <c r="Q12" s="16"/>
      <c r="R12" s="16"/>
      <c r="S12" s="21"/>
      <c r="T12" s="21"/>
      <c r="U12" s="21"/>
      <c r="V12" s="17" t="s">
        <v>18</v>
      </c>
      <c r="W12" s="17" t="s">
        <v>19</v>
      </c>
    </row>
    <row r="13" s="2" customFormat="true" ht="30" hidden="false" customHeight="true" outlineLevel="0" collapsed="false">
      <c r="B13" s="18" t="s">
        <v>20</v>
      </c>
      <c r="C13" s="18"/>
      <c r="D13" s="22" t="s">
        <v>217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3"/>
      <c r="U13" s="23"/>
      <c r="V13" s="24" t="n">
        <v>0</v>
      </c>
      <c r="W13" s="24" t="n">
        <v>1</v>
      </c>
      <c r="X13" s="1"/>
      <c r="Y13" s="1"/>
      <c r="Z13" s="1"/>
    </row>
    <row r="14" s="2" customFormat="true" ht="30" hidden="false" customHeight="true" outlineLevel="0" collapsed="false">
      <c r="B14" s="18"/>
      <c r="C14" s="18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5"/>
      <c r="T14" s="26"/>
      <c r="U14" s="27"/>
      <c r="V14" s="24" t="n">
        <v>-1</v>
      </c>
      <c r="W14" s="24" t="n">
        <v>1000</v>
      </c>
      <c r="X14" s="1"/>
      <c r="Y14" s="1"/>
      <c r="Z14" s="1"/>
    </row>
    <row r="15" customFormat="false" ht="30" hidden="false" customHeight="true" outlineLevel="0" collapsed="false">
      <c r="B15" s="18"/>
      <c r="C15" s="1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8"/>
      <c r="T15" s="29"/>
      <c r="U15" s="30"/>
      <c r="V15" s="24" t="str">
        <f aca="false">CONCATENATE("&lt; ",V14)</f>
        <v>&lt; -1</v>
      </c>
      <c r="W15" s="24" t="str">
        <f aca="false">CONCATENATE("&gt; ",W14)</f>
        <v>&gt; 1000</v>
      </c>
    </row>
    <row r="16" customFormat="false" ht="30" hidden="false" customHeight="true" outlineLevel="0" collapsed="false">
      <c r="B16" s="31" t="s">
        <v>22</v>
      </c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18" t="s">
        <v>24</v>
      </c>
      <c r="T16" s="18"/>
      <c r="U16" s="18"/>
      <c r="V16" s="33" t="s">
        <v>25</v>
      </c>
      <c r="W16" s="33"/>
    </row>
    <row r="17" customFormat="false" ht="14.25" hidden="false" customHeight="true" outlineLevel="0" collapsed="false">
      <c r="B17" s="34" t="s">
        <v>26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customFormat="false" ht="26.25" hidden="false" customHeight="true" outlineLevel="0" collapsed="false">
      <c r="B18" s="31" t="s">
        <v>27</v>
      </c>
      <c r="C18" s="31"/>
      <c r="D18" s="35" t="s">
        <v>28</v>
      </c>
      <c r="E18" s="35"/>
      <c r="F18" s="35"/>
      <c r="G18" s="35"/>
      <c r="H18" s="35"/>
      <c r="I18" s="31" t="s">
        <v>29</v>
      </c>
      <c r="J18" s="31"/>
      <c r="K18" s="31"/>
      <c r="L18" s="31"/>
      <c r="M18" s="16" t="s">
        <v>30</v>
      </c>
      <c r="N18" s="16"/>
      <c r="O18" s="16"/>
      <c r="P18" s="16"/>
      <c r="Q18" s="18" t="s">
        <v>31</v>
      </c>
      <c r="R18" s="18"/>
      <c r="S18" s="18"/>
      <c r="T18" s="36" t="s">
        <v>32</v>
      </c>
      <c r="U18" s="36"/>
      <c r="V18" s="36"/>
      <c r="W18" s="36"/>
      <c r="X18" s="37"/>
    </row>
    <row r="19" customFormat="false" ht="30" hidden="false" customHeight="true" outlineLevel="0" collapsed="false">
      <c r="B19" s="31" t="s">
        <v>33</v>
      </c>
      <c r="C19" s="31"/>
      <c r="D19" s="35" t="s">
        <v>34</v>
      </c>
      <c r="E19" s="35"/>
      <c r="F19" s="35"/>
      <c r="G19" s="35"/>
      <c r="H19" s="35"/>
      <c r="I19" s="18" t="s">
        <v>35</v>
      </c>
      <c r="J19" s="18"/>
      <c r="K19" s="18"/>
      <c r="L19" s="18"/>
      <c r="M19" s="16" t="s">
        <v>34</v>
      </c>
      <c r="N19" s="16"/>
      <c r="O19" s="16"/>
      <c r="P19" s="16"/>
      <c r="Q19" s="18" t="s">
        <v>36</v>
      </c>
      <c r="R19" s="18"/>
      <c r="S19" s="18"/>
      <c r="T19" s="36" t="s">
        <v>34</v>
      </c>
      <c r="U19" s="36"/>
      <c r="V19" s="36"/>
      <c r="W19" s="36"/>
    </row>
    <row r="20" customFormat="false" ht="17.25" hidden="false" customHeight="true" outlineLevel="0" collapsed="false">
      <c r="B20" s="14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24.75" hidden="false" customHeight="true" outlineLevel="0" collapsed="false">
      <c r="B21" s="38" t="s">
        <v>38</v>
      </c>
      <c r="C21" s="38"/>
      <c r="D21" s="39" t="str">
        <f aca="false">VLOOKUP(P12,$AF$79:$AR$84,2,FALSE())</f>
        <v>Oct.</v>
      </c>
      <c r="E21" s="39" t="str">
        <f aca="false">VLOOKUP(P12,$AF$79:$AR$84,3,FALSE())</f>
        <v>Nov.</v>
      </c>
      <c r="F21" s="40" t="str">
        <f aca="false">VLOOKUP(P12,$AF$79:$AR$84,4,FALSE())</f>
        <v>Dic.</v>
      </c>
      <c r="G21" s="40"/>
      <c r="H21" s="40" t="str">
        <f aca="false">VLOOKUP(P12,$AF$79:$AR$84,5,FALSE())</f>
        <v>Ene.</v>
      </c>
      <c r="I21" s="40"/>
      <c r="J21" s="40"/>
      <c r="K21" s="41" t="str">
        <f aca="false">VLOOKUP(P12,$AF$79:$AR$84,6,FALSE())</f>
        <v>Feb.</v>
      </c>
      <c r="L21" s="42" t="str">
        <f aca="false">VLOOKUP(P12,$AF$79:$AR$84,7,FALSE())</f>
        <v>Mar.</v>
      </c>
      <c r="M21" s="42"/>
      <c r="N21" s="42" t="str">
        <f aca="false">VLOOKUP(P12,$AF$79:$AR$84,8,FALSE())</f>
        <v>Abr.</v>
      </c>
      <c r="O21" s="42"/>
      <c r="P21" s="43" t="str">
        <f aca="false">VLOOKUP(P12,$AF$79:$AR$84,9,FALSE())</f>
        <v>May.</v>
      </c>
      <c r="Q21" s="43"/>
      <c r="R21" s="43" t="str">
        <f aca="false">VLOOKUP(P12,$AF$79:$AR$84,10,FALSE())</f>
        <v>Jun.</v>
      </c>
      <c r="S21" s="43"/>
      <c r="T21" s="44" t="str">
        <f aca="false">VLOOKUP(P12,$AF$79:$AR$84,11,FALSE())</f>
        <v>Jul.</v>
      </c>
      <c r="U21" s="44"/>
      <c r="V21" s="45" t="str">
        <f aca="false">VLOOKUP(P12,$AF$79:$AR$84,12,FALSE())</f>
        <v>Ago.</v>
      </c>
      <c r="W21" s="41" t="str">
        <f aca="false">VLOOKUP(P12,$AF$79:$AR$84,13,FALSE())</f>
        <v>Sep.</v>
      </c>
    </row>
    <row r="22" customFormat="false" ht="28.5" hidden="false" customHeight="true" outlineLevel="0" collapsed="false">
      <c r="B22" s="46" t="s">
        <v>218</v>
      </c>
      <c r="C22" s="46"/>
      <c r="D22" s="47" t="s">
        <v>219</v>
      </c>
      <c r="E22" s="47" t="n">
        <v>0</v>
      </c>
      <c r="F22" s="47" t="n">
        <v>0</v>
      </c>
      <c r="G22" s="47"/>
      <c r="H22" s="47" t="n">
        <v>0</v>
      </c>
      <c r="I22" s="47"/>
      <c r="J22" s="47"/>
      <c r="K22" s="47" t="n">
        <v>0</v>
      </c>
      <c r="L22" s="47" t="n">
        <v>0</v>
      </c>
      <c r="M22" s="47"/>
      <c r="N22" s="47" t="n">
        <v>1</v>
      </c>
      <c r="O22" s="47"/>
      <c r="P22" s="47" t="n">
        <v>1</v>
      </c>
      <c r="Q22" s="47"/>
      <c r="R22" s="47"/>
      <c r="S22" s="47"/>
      <c r="T22" s="47"/>
      <c r="U22" s="47"/>
      <c r="V22" s="48"/>
      <c r="W22" s="49"/>
    </row>
    <row r="23" customFormat="false" ht="24.75" hidden="false" customHeight="true" outlineLevel="0" collapsed="false">
      <c r="B23" s="50" t="s">
        <v>220</v>
      </c>
      <c r="C23" s="50"/>
      <c r="D23" s="51" t="n">
        <v>100</v>
      </c>
      <c r="E23" s="51" t="n">
        <v>100</v>
      </c>
      <c r="F23" s="47" t="n">
        <v>100</v>
      </c>
      <c r="G23" s="47"/>
      <c r="H23" s="47" t="n">
        <v>100</v>
      </c>
      <c r="I23" s="47"/>
      <c r="J23" s="47"/>
      <c r="K23" s="51" t="n">
        <v>100</v>
      </c>
      <c r="L23" s="47" t="n">
        <v>100</v>
      </c>
      <c r="M23" s="47"/>
      <c r="N23" s="47" t="n">
        <v>100</v>
      </c>
      <c r="O23" s="47"/>
      <c r="P23" s="47" t="n">
        <v>100</v>
      </c>
      <c r="Q23" s="47"/>
      <c r="R23" s="47" t="n">
        <v>100</v>
      </c>
      <c r="S23" s="47"/>
      <c r="T23" s="47" t="n">
        <v>100</v>
      </c>
      <c r="U23" s="47"/>
      <c r="V23" s="48" t="n">
        <v>100</v>
      </c>
      <c r="W23" s="52" t="n">
        <v>100</v>
      </c>
    </row>
    <row r="24" customFormat="false" ht="15" hidden="false" customHeight="true" outlineLevel="0" collapsed="false">
      <c r="B24" s="53" t="s">
        <v>41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15" hidden="false" customHeight="true" outlineLevel="0" collapsed="false">
      <c r="B25" s="54" t="s">
        <v>42</v>
      </c>
      <c r="C25" s="55" t="s">
        <v>43</v>
      </c>
      <c r="D25" s="55" t="s">
        <v>18</v>
      </c>
      <c r="E25" s="55" t="s">
        <v>19</v>
      </c>
      <c r="F25" s="56"/>
      <c r="G25" s="57"/>
      <c r="H25" s="57"/>
      <c r="I25" s="57"/>
      <c r="J25" s="57"/>
      <c r="K25" s="57"/>
      <c r="L25" s="57"/>
      <c r="M25" s="57"/>
      <c r="N25" s="58"/>
      <c r="O25" s="58"/>
      <c r="P25" s="58"/>
      <c r="Q25" s="58"/>
      <c r="R25" s="58"/>
      <c r="S25" s="59"/>
      <c r="T25" s="59"/>
      <c r="U25" s="59"/>
      <c r="V25" s="59"/>
      <c r="W25" s="59"/>
    </row>
    <row r="26" customFormat="false" ht="15" hidden="false" customHeight="true" outlineLevel="0" collapsed="false">
      <c r="B26" s="60" t="str">
        <f aca="false">D21</f>
        <v>Oct.</v>
      </c>
      <c r="C26" s="61" t="e">
        <f aca="false">IF(D23=0," ",D22*100/D23)</f>
        <v>#VALUE!</v>
      </c>
      <c r="D26" s="62"/>
      <c r="E26" s="62" t="n">
        <f aca="false">IF(ISBLANK($W$13)," ",$W$13)</f>
        <v>1</v>
      </c>
      <c r="F26" s="63"/>
      <c r="G26" s="64"/>
      <c r="H26" s="64"/>
      <c r="I26" s="64"/>
      <c r="J26" s="64"/>
      <c r="K26" s="64"/>
      <c r="L26" s="64"/>
      <c r="M26" s="64"/>
      <c r="N26" s="58"/>
      <c r="O26" s="58"/>
      <c r="P26" s="58"/>
      <c r="Q26" s="58"/>
      <c r="R26" s="58"/>
      <c r="S26" s="65"/>
      <c r="T26" s="65"/>
      <c r="U26" s="65"/>
      <c r="V26" s="65"/>
      <c r="W26" s="65"/>
    </row>
    <row r="27" customFormat="false" ht="15" hidden="false" customHeight="true" outlineLevel="0" collapsed="false">
      <c r="B27" s="60" t="str">
        <f aca="false">E21</f>
        <v>Nov.</v>
      </c>
      <c r="C27" s="61" t="n">
        <f aca="false">IF(E23=0," ",E22*100/E23)</f>
        <v>0</v>
      </c>
      <c r="D27" s="62"/>
      <c r="E27" s="62" t="n">
        <f aca="false">IF(ISBLANK($W$13)," ",$W$13)</f>
        <v>1</v>
      </c>
      <c r="F27" s="63"/>
      <c r="G27" s="64"/>
      <c r="H27" s="64"/>
      <c r="I27" s="64"/>
      <c r="J27" s="64"/>
      <c r="K27" s="64"/>
      <c r="L27" s="64"/>
      <c r="M27" s="64"/>
      <c r="N27" s="58"/>
      <c r="O27" s="58"/>
      <c r="P27" s="58"/>
      <c r="Q27" s="58"/>
      <c r="R27" s="58"/>
      <c r="S27" s="65"/>
      <c r="T27" s="65"/>
      <c r="U27" s="65"/>
      <c r="V27" s="65"/>
      <c r="W27" s="65"/>
    </row>
    <row r="28" customFormat="false" ht="15" hidden="false" customHeight="true" outlineLevel="0" collapsed="false">
      <c r="B28" s="60" t="str">
        <f aca="false">F21</f>
        <v>Dic.</v>
      </c>
      <c r="C28" s="61" t="n">
        <f aca="false">IF(F23=0," ",F22*100/F23)</f>
        <v>0</v>
      </c>
      <c r="D28" s="62"/>
      <c r="E28" s="62" t="n">
        <f aca="false">IF(ISBLANK($W$13)," ",$W$13)</f>
        <v>1</v>
      </c>
      <c r="F28" s="63"/>
      <c r="G28" s="64"/>
      <c r="H28" s="64"/>
      <c r="I28" s="64"/>
      <c r="J28" s="64"/>
      <c r="K28" s="64"/>
      <c r="L28" s="64"/>
      <c r="M28" s="64"/>
      <c r="N28" s="58"/>
      <c r="O28" s="58"/>
      <c r="P28" s="58"/>
      <c r="Q28" s="58"/>
      <c r="R28" s="58"/>
      <c r="S28" s="65"/>
      <c r="T28" s="65"/>
      <c r="U28" s="65"/>
      <c r="V28" s="65"/>
      <c r="W28" s="65"/>
    </row>
    <row r="29" customFormat="false" ht="15" hidden="false" customHeight="true" outlineLevel="0" collapsed="false">
      <c r="B29" s="60" t="str">
        <f aca="false">H21</f>
        <v>Ene.</v>
      </c>
      <c r="C29" s="61" t="n">
        <f aca="false">IF(H23=0," ",H22*100/H23)</f>
        <v>0</v>
      </c>
      <c r="D29" s="62"/>
      <c r="E29" s="62" t="n">
        <f aca="false">IF(ISBLANK($W$13)," ",$W$13)</f>
        <v>1</v>
      </c>
      <c r="F29" s="63"/>
      <c r="G29" s="64"/>
      <c r="H29" s="64"/>
      <c r="I29" s="64"/>
      <c r="J29" s="64"/>
      <c r="K29" s="64"/>
      <c r="L29" s="64"/>
      <c r="M29" s="64"/>
      <c r="N29" s="58"/>
      <c r="O29" s="58"/>
      <c r="P29" s="58"/>
      <c r="Q29" s="58"/>
      <c r="R29" s="58"/>
      <c r="S29" s="65"/>
      <c r="T29" s="65"/>
      <c r="U29" s="65"/>
      <c r="V29" s="65"/>
      <c r="W29" s="65"/>
      <c r="AB29" s="66"/>
      <c r="AC29" s="66"/>
      <c r="AD29" s="66"/>
    </row>
    <row r="30" customFormat="false" ht="15" hidden="false" customHeight="true" outlineLevel="0" collapsed="false">
      <c r="B30" s="60" t="str">
        <f aca="false">K21</f>
        <v>Feb.</v>
      </c>
      <c r="C30" s="61" t="n">
        <f aca="false">IF(K23=0," ",K22*100/K23)</f>
        <v>0</v>
      </c>
      <c r="D30" s="62"/>
      <c r="E30" s="62" t="n">
        <f aca="false">IF(ISBLANK($W$13)," ",$W$13)</f>
        <v>1</v>
      </c>
      <c r="F30" s="63"/>
      <c r="G30" s="64"/>
      <c r="H30" s="64"/>
      <c r="I30" s="64"/>
      <c r="J30" s="64"/>
      <c r="K30" s="64"/>
      <c r="L30" s="64"/>
      <c r="M30" s="64"/>
      <c r="N30" s="58"/>
      <c r="O30" s="58"/>
      <c r="P30" s="58"/>
      <c r="Q30" s="58"/>
      <c r="R30" s="58"/>
      <c r="S30" s="65"/>
      <c r="T30" s="65"/>
      <c r="U30" s="65"/>
      <c r="V30" s="65"/>
      <c r="W30" s="65"/>
      <c r="AB30" s="66"/>
      <c r="AC30" s="66"/>
      <c r="AD30" s="66"/>
    </row>
    <row r="31" customFormat="false" ht="15" hidden="false" customHeight="true" outlineLevel="0" collapsed="false">
      <c r="B31" s="60" t="str">
        <f aca="false">L21</f>
        <v>Mar.</v>
      </c>
      <c r="C31" s="61" t="n">
        <f aca="false">IF(L23=0," ",L22*100/L23)</f>
        <v>0</v>
      </c>
      <c r="D31" s="62"/>
      <c r="E31" s="62" t="n">
        <f aca="false">IF(ISBLANK($W$13)," ",$W$13)</f>
        <v>1</v>
      </c>
      <c r="F31" s="63"/>
      <c r="G31" s="64"/>
      <c r="H31" s="64"/>
      <c r="I31" s="64"/>
      <c r="J31" s="64"/>
      <c r="K31" s="64"/>
      <c r="L31" s="64"/>
      <c r="M31" s="64"/>
      <c r="N31" s="58"/>
      <c r="O31" s="58"/>
      <c r="P31" s="58"/>
      <c r="Q31" s="58"/>
      <c r="R31" s="58"/>
      <c r="S31" s="65"/>
      <c r="T31" s="65"/>
      <c r="U31" s="65"/>
      <c r="V31" s="65"/>
      <c r="W31" s="65"/>
      <c r="AB31" s="66"/>
      <c r="AC31" s="66"/>
      <c r="AD31" s="66"/>
    </row>
    <row r="32" customFormat="false" ht="15" hidden="false" customHeight="true" outlineLevel="0" collapsed="false">
      <c r="B32" s="60" t="str">
        <f aca="false">N21</f>
        <v>Abr.</v>
      </c>
      <c r="C32" s="61" t="n">
        <f aca="false">IF(N23=0," ",N22*100/N23)</f>
        <v>1</v>
      </c>
      <c r="D32" s="62"/>
      <c r="E32" s="62" t="n">
        <f aca="false">IF(ISBLANK($W$13)," ",$W$13)</f>
        <v>1</v>
      </c>
      <c r="F32" s="63"/>
      <c r="G32" s="64"/>
      <c r="H32" s="64"/>
      <c r="I32" s="64"/>
      <c r="J32" s="64"/>
      <c r="K32" s="64"/>
      <c r="L32" s="64"/>
      <c r="M32" s="64"/>
      <c r="N32" s="58"/>
      <c r="O32" s="58"/>
      <c r="P32" s="58"/>
      <c r="Q32" s="58"/>
      <c r="R32" s="58"/>
      <c r="S32" s="65"/>
      <c r="T32" s="65"/>
      <c r="U32" s="65"/>
      <c r="V32" s="65"/>
      <c r="W32" s="65"/>
      <c r="AB32" s="66"/>
      <c r="AC32" s="66"/>
      <c r="AD32" s="66"/>
    </row>
    <row r="33" customFormat="false" ht="15" hidden="false" customHeight="true" outlineLevel="0" collapsed="false">
      <c r="B33" s="60" t="str">
        <f aca="false">P21</f>
        <v>May.</v>
      </c>
      <c r="C33" s="61" t="n">
        <f aca="false">IF(P23=0," ",P22*100/P23)</f>
        <v>1</v>
      </c>
      <c r="D33" s="62"/>
      <c r="E33" s="62" t="n">
        <f aca="false">IF(ISBLANK($W$13)," ",$W$13)</f>
        <v>1</v>
      </c>
      <c r="F33" s="63"/>
      <c r="G33" s="64"/>
      <c r="H33" s="64"/>
      <c r="I33" s="64"/>
      <c r="J33" s="64"/>
      <c r="K33" s="64"/>
      <c r="L33" s="64"/>
      <c r="M33" s="64"/>
      <c r="N33" s="58"/>
      <c r="O33" s="58"/>
      <c r="P33" s="58"/>
      <c r="Q33" s="58"/>
      <c r="R33" s="58"/>
      <c r="S33" s="65"/>
      <c r="T33" s="65"/>
      <c r="U33" s="65"/>
      <c r="V33" s="65"/>
      <c r="W33" s="65"/>
      <c r="AB33" s="66"/>
      <c r="AC33" s="66"/>
      <c r="AD33" s="66"/>
    </row>
    <row r="34" customFormat="false" ht="15" hidden="false" customHeight="true" outlineLevel="0" collapsed="false">
      <c r="B34" s="60" t="str">
        <f aca="false">R21</f>
        <v>Jun.</v>
      </c>
      <c r="C34" s="61" t="n">
        <f aca="false">IF(R23=0, " ",R22*100/R23)</f>
        <v>0</v>
      </c>
      <c r="D34" s="62"/>
      <c r="E34" s="62" t="n">
        <f aca="false">IF(ISBLANK($W$13)," ",$W$13)</f>
        <v>1</v>
      </c>
      <c r="F34" s="63"/>
      <c r="G34" s="64"/>
      <c r="H34" s="64"/>
      <c r="I34" s="64"/>
      <c r="J34" s="64"/>
      <c r="K34" s="64"/>
      <c r="L34" s="64"/>
      <c r="M34" s="64"/>
      <c r="N34" s="58"/>
      <c r="O34" s="58"/>
      <c r="P34" s="58"/>
      <c r="Q34" s="58"/>
      <c r="R34" s="58"/>
      <c r="S34" s="65"/>
      <c r="T34" s="65"/>
      <c r="U34" s="65"/>
      <c r="V34" s="65"/>
      <c r="W34" s="65"/>
      <c r="AB34" s="66"/>
      <c r="AC34" s="66"/>
      <c r="AD34" s="66"/>
    </row>
    <row r="35" customFormat="false" ht="15" hidden="false" customHeight="true" outlineLevel="0" collapsed="false">
      <c r="B35" s="60" t="str">
        <f aca="false">T21</f>
        <v>Jul.</v>
      </c>
      <c r="C35" s="61" t="n">
        <f aca="false">IF(T23=0," ",T22*100/T23)</f>
        <v>0</v>
      </c>
      <c r="D35" s="62"/>
      <c r="E35" s="62" t="n">
        <f aca="false">IF(ISBLANK($W$13)," ",$W$13)</f>
        <v>1</v>
      </c>
      <c r="F35" s="63"/>
      <c r="G35" s="64"/>
      <c r="H35" s="64"/>
      <c r="I35" s="64"/>
      <c r="J35" s="64"/>
      <c r="K35" s="64"/>
      <c r="L35" s="64"/>
      <c r="M35" s="64"/>
      <c r="N35" s="58"/>
      <c r="O35" s="58"/>
      <c r="P35" s="58"/>
      <c r="Q35" s="58"/>
      <c r="R35" s="58"/>
      <c r="S35" s="65"/>
      <c r="T35" s="65"/>
      <c r="U35" s="65"/>
      <c r="V35" s="65"/>
      <c r="W35" s="65"/>
      <c r="AB35" s="66"/>
      <c r="AC35" s="66"/>
      <c r="AD35" s="66"/>
    </row>
    <row r="36" customFormat="false" ht="12.75" hidden="false" customHeight="false" outlineLevel="0" collapsed="false">
      <c r="B36" s="60" t="str">
        <f aca="false">V21</f>
        <v>Ago.</v>
      </c>
      <c r="C36" s="61" t="n">
        <f aca="false">IF(V23=0, " ",V22*100/V23)</f>
        <v>0</v>
      </c>
      <c r="D36" s="62"/>
      <c r="E36" s="62" t="n">
        <f aca="false">IF(ISBLANK($W$13)," ",$W$13)</f>
        <v>1</v>
      </c>
      <c r="F36" s="63"/>
      <c r="G36" s="64"/>
      <c r="H36" s="64"/>
      <c r="I36" s="64"/>
      <c r="J36" s="64"/>
      <c r="K36" s="64"/>
      <c r="L36" s="64"/>
      <c r="M36" s="64"/>
      <c r="N36" s="58"/>
      <c r="O36" s="58"/>
      <c r="P36" s="58"/>
      <c r="Q36" s="58"/>
      <c r="R36" s="58"/>
      <c r="S36" s="65"/>
      <c r="T36" s="65"/>
      <c r="U36" s="65"/>
      <c r="V36" s="65"/>
      <c r="W36" s="65"/>
      <c r="AB36" s="66"/>
      <c r="AC36" s="66"/>
      <c r="AD36" s="66"/>
    </row>
    <row r="37" customFormat="false" ht="12.75" hidden="false" customHeight="false" outlineLevel="0" collapsed="false">
      <c r="B37" s="60" t="str">
        <f aca="false">W21</f>
        <v>Sep.</v>
      </c>
      <c r="C37" s="61" t="n">
        <f aca="false">IF(W23=0," ",W22*100/W23)</f>
        <v>0</v>
      </c>
      <c r="D37" s="62"/>
      <c r="E37" s="62" t="n">
        <f aca="false">IF(ISBLANK($W$13)," ",$W$13)</f>
        <v>1</v>
      </c>
      <c r="F37" s="63"/>
      <c r="G37" s="64"/>
      <c r="H37" s="64"/>
      <c r="I37" s="64"/>
      <c r="J37" s="64"/>
      <c r="K37" s="64"/>
      <c r="L37" s="64"/>
      <c r="M37" s="64"/>
      <c r="N37" s="58"/>
      <c r="O37" s="58"/>
      <c r="P37" s="58"/>
      <c r="Q37" s="58"/>
      <c r="R37" s="58"/>
      <c r="S37" s="65"/>
      <c r="T37" s="65"/>
      <c r="U37" s="65"/>
      <c r="V37" s="65"/>
      <c r="W37" s="65"/>
      <c r="AB37" s="66"/>
      <c r="AC37" s="66"/>
      <c r="AD37" s="66"/>
    </row>
    <row r="38" customFormat="false" ht="12.75" hidden="false" customHeight="true" outlineLevel="0" collapsed="false">
      <c r="B38" s="67" t="s">
        <v>44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 customFormat="false" ht="19.5" hidden="false" customHeight="true" outlineLevel="0" collapsed="false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customFormat="false" ht="19.5" hidden="false" customHeight="true" outlineLevel="0" collapsed="false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</row>
    <row r="41" customFormat="false" ht="37.5" hidden="false" customHeight="true" outlineLevel="0" collapsed="false">
      <c r="B41" s="69" t="s">
        <v>42</v>
      </c>
      <c r="C41" s="69"/>
      <c r="D41" s="70" t="s">
        <v>45</v>
      </c>
      <c r="E41" s="70"/>
      <c r="F41" s="70"/>
      <c r="G41" s="70"/>
      <c r="H41" s="70"/>
      <c r="I41" s="70"/>
      <c r="J41" s="70"/>
      <c r="K41" s="70"/>
      <c r="L41" s="70"/>
      <c r="M41" s="71" t="s">
        <v>46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</row>
    <row r="42" customFormat="false" ht="30" hidden="false" customHeight="true" outlineLevel="0" collapsed="false">
      <c r="B42" s="72" t="str">
        <f aca="false">D21</f>
        <v>Oct.</v>
      </c>
      <c r="C42" s="72"/>
      <c r="D42" s="114"/>
      <c r="E42" s="114"/>
      <c r="F42" s="114"/>
      <c r="G42" s="114"/>
      <c r="H42" s="114"/>
      <c r="I42" s="114"/>
      <c r="J42" s="114"/>
      <c r="K42" s="114"/>
      <c r="L42" s="114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</row>
    <row r="43" customFormat="false" ht="30" hidden="false" customHeight="true" outlineLevel="0" collapsed="false">
      <c r="B43" s="72" t="str">
        <f aca="false">E21</f>
        <v>Nov.</v>
      </c>
      <c r="C43" s="72"/>
      <c r="D43" s="114"/>
      <c r="E43" s="114"/>
      <c r="F43" s="114"/>
      <c r="G43" s="114"/>
      <c r="H43" s="114"/>
      <c r="I43" s="114"/>
      <c r="J43" s="114"/>
      <c r="K43" s="114"/>
      <c r="L43" s="114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 customFormat="false" ht="30" hidden="false" customHeight="true" outlineLevel="0" collapsed="false">
      <c r="B44" s="72" t="str">
        <f aca="false">F21</f>
        <v>Dic.</v>
      </c>
      <c r="C44" s="72"/>
      <c r="D44" s="114"/>
      <c r="E44" s="114"/>
      <c r="F44" s="114"/>
      <c r="G44" s="114"/>
      <c r="H44" s="114"/>
      <c r="I44" s="114"/>
      <c r="J44" s="114"/>
      <c r="K44" s="114"/>
      <c r="L44" s="114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</row>
    <row r="45" s="75" customFormat="true" ht="30" hidden="false" customHeight="true" outlineLevel="0" collapsed="false">
      <c r="B45" s="72" t="str">
        <f aca="false">H21</f>
        <v>Ene.</v>
      </c>
      <c r="C45" s="72"/>
      <c r="D45" s="114"/>
      <c r="E45" s="114"/>
      <c r="F45" s="114"/>
      <c r="G45" s="114"/>
      <c r="H45" s="114"/>
      <c r="I45" s="114"/>
      <c r="J45" s="114"/>
      <c r="K45" s="114"/>
      <c r="L45" s="114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AA45" s="76"/>
    </row>
    <row r="46" s="75" customFormat="true" ht="30" hidden="false" customHeight="true" outlineLevel="0" collapsed="false">
      <c r="B46" s="72" t="str">
        <f aca="false">K21</f>
        <v>Feb.</v>
      </c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AA46" s="76"/>
    </row>
    <row r="47" s="75" customFormat="true" ht="30" hidden="false" customHeight="true" outlineLevel="0" collapsed="false">
      <c r="B47" s="72" t="str">
        <f aca="false">L21</f>
        <v>Mar.</v>
      </c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AA47" s="76"/>
    </row>
    <row r="48" s="75" customFormat="true" ht="30" hidden="false" customHeight="true" outlineLevel="0" collapsed="false">
      <c r="B48" s="72" t="str">
        <f aca="false">N21</f>
        <v>Abr.</v>
      </c>
      <c r="C48" s="72"/>
      <c r="D48" s="73" t="s">
        <v>221</v>
      </c>
      <c r="E48" s="73"/>
      <c r="F48" s="73"/>
      <c r="G48" s="73"/>
      <c r="H48" s="73"/>
      <c r="I48" s="73"/>
      <c r="J48" s="73"/>
      <c r="K48" s="73"/>
      <c r="L48" s="73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AA48" s="76"/>
    </row>
    <row r="49" s="75" customFormat="true" ht="30" hidden="false" customHeight="true" outlineLevel="0" collapsed="false">
      <c r="B49" s="72" t="str">
        <f aca="false">P21</f>
        <v>May.</v>
      </c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AA49" s="76"/>
    </row>
    <row r="50" s="75" customFormat="true" ht="30" hidden="false" customHeight="true" outlineLevel="0" collapsed="false">
      <c r="B50" s="72" t="str">
        <f aca="false">R21</f>
        <v>Jun.</v>
      </c>
      <c r="C50" s="72"/>
      <c r="D50" s="114"/>
      <c r="E50" s="114"/>
      <c r="F50" s="114"/>
      <c r="G50" s="114"/>
      <c r="H50" s="114"/>
      <c r="I50" s="114"/>
      <c r="J50" s="114"/>
      <c r="K50" s="114"/>
      <c r="L50" s="114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AA50" s="76"/>
    </row>
    <row r="51" s="75" customFormat="true" ht="30" hidden="false" customHeight="true" outlineLevel="0" collapsed="false">
      <c r="B51" s="72" t="str">
        <f aca="false">T21</f>
        <v>Jul.</v>
      </c>
      <c r="C51" s="72"/>
      <c r="D51" s="114"/>
      <c r="E51" s="114"/>
      <c r="F51" s="114"/>
      <c r="G51" s="114"/>
      <c r="H51" s="114"/>
      <c r="I51" s="114"/>
      <c r="J51" s="114"/>
      <c r="K51" s="114"/>
      <c r="L51" s="114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AA51" s="76"/>
    </row>
    <row r="52" customFormat="false" ht="30" hidden="false" customHeight="true" outlineLevel="0" collapsed="false">
      <c r="B52" s="72" t="str">
        <f aca="false">V21</f>
        <v>Ago.</v>
      </c>
      <c r="C52" s="72"/>
      <c r="D52" s="114"/>
      <c r="E52" s="114"/>
      <c r="F52" s="114"/>
      <c r="G52" s="114"/>
      <c r="H52" s="114"/>
      <c r="I52" s="114"/>
      <c r="J52" s="114"/>
      <c r="K52" s="114"/>
      <c r="L52" s="114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</row>
    <row r="53" customFormat="false" ht="30" hidden="false" customHeight="true" outlineLevel="0" collapsed="false">
      <c r="B53" s="77" t="str">
        <f aca="false">W21</f>
        <v>Sep.</v>
      </c>
      <c r="C53" s="77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</row>
    <row r="54" customFormat="false" ht="12.75" hidden="false" customHeight="true" outlineLevel="0" collapsed="false">
      <c r="B54" s="78" t="s">
        <v>55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customFormat="false" ht="12.75" hidden="false" customHeight="false" outlineLevel="0" collapsed="false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</row>
    <row r="56" customFormat="false" ht="12.75" hidden="false" customHeight="false" outlineLevel="0" collapsed="false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customFormat="false" ht="12.75" hidden="false" customHeight="false" outlineLevel="0" collapsed="false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customFormat="false" ht="12.75" hidden="false" customHeight="false" outlineLevel="0" collapsed="false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customFormat="false" ht="13.5" hidden="false" customHeight="true" outlineLevel="0" collapsed="false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</row>
    <row r="60" customFormat="false" ht="15" hidden="false" customHeight="true" outlineLevel="0" collapsed="false">
      <c r="B60" s="80"/>
      <c r="C60" s="81"/>
      <c r="D60" s="81"/>
      <c r="E60" s="81"/>
      <c r="F60" s="81"/>
      <c r="G60" s="82"/>
      <c r="H60" s="81"/>
      <c r="I60" s="83"/>
      <c r="J60" s="84"/>
      <c r="K60" s="8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6" t="s">
        <v>56</v>
      </c>
    </row>
    <row r="61" customFormat="false" ht="12.75" hidden="false" customHeight="false" outlineLevel="0" collapsed="false">
      <c r="B61" s="87"/>
    </row>
    <row r="68" customFormat="false" ht="3" hidden="false" customHeight="true" outlineLevel="0" collapsed="false"/>
    <row r="70" customFormat="false" ht="20.25" hidden="false" customHeight="true" outlineLevel="0" collapsed="false"/>
    <row r="71" customFormat="false" ht="15" hidden="true" customHeight="true" outlineLevel="0" collapsed="false"/>
    <row r="72" s="1" customFormat="true" ht="20.25" hidden="true" customHeight="true" outlineLevel="0" collapsed="false"/>
    <row r="73" customFormat="false" ht="12.75" hidden="true" customHeight="false" outlineLevel="0" collapsed="false"/>
    <row r="74" customFormat="false" ht="12.75" hidden="true" customHeight="false" outlineLevel="0" collapsed="false"/>
    <row r="75" customFormat="false" ht="13.5" hidden="true" customHeight="true" outlineLevel="0" collapsed="false"/>
    <row r="76" customFormat="false" ht="12.75" hidden="true" customHeight="false" outlineLevel="0" collapsed="false"/>
    <row r="77" customFormat="false" ht="12.75" hidden="true" customHeight="false" outlineLevel="0" collapsed="false"/>
    <row r="78" customFormat="false" ht="21" hidden="true" customHeight="true" outlineLevel="0" collapsed="false">
      <c r="B78" s="88"/>
      <c r="C78" s="89"/>
      <c r="D78" s="90" t="s">
        <v>57</v>
      </c>
      <c r="E78" s="90"/>
      <c r="M78" s="89" t="s">
        <v>58</v>
      </c>
      <c r="T78" s="89" t="s">
        <v>59</v>
      </c>
      <c r="Y78" s="89" t="s">
        <v>60</v>
      </c>
      <c r="AC78" s="89" t="s">
        <v>61</v>
      </c>
      <c r="AE78" s="91"/>
      <c r="AF78" s="91"/>
      <c r="AG78" s="92" t="s">
        <v>62</v>
      </c>
      <c r="AH78" s="92"/>
    </row>
    <row r="79" customFormat="false" ht="20.25" hidden="true" customHeight="true" outlineLevel="0" collapsed="false">
      <c r="B79" s="91"/>
      <c r="C79" s="91"/>
      <c r="D79" s="93" t="s">
        <v>63</v>
      </c>
      <c r="E79" s="93" t="s">
        <v>64</v>
      </c>
      <c r="M79" s="1" t="s">
        <v>65</v>
      </c>
      <c r="T79" s="1" t="s">
        <v>66</v>
      </c>
      <c r="Y79" s="1" t="s">
        <v>67</v>
      </c>
      <c r="AC79" s="94" t="s">
        <v>68</v>
      </c>
      <c r="AE79" s="95" t="s">
        <v>69</v>
      </c>
      <c r="AF79" s="96" t="s">
        <v>17</v>
      </c>
      <c r="AG79" s="97" t="s">
        <v>70</v>
      </c>
      <c r="AH79" s="97" t="s">
        <v>71</v>
      </c>
      <c r="AI79" s="98" t="s">
        <v>72</v>
      </c>
      <c r="AJ79" s="98" t="s">
        <v>73</v>
      </c>
      <c r="AK79" s="98" t="s">
        <v>74</v>
      </c>
      <c r="AL79" s="98" t="s">
        <v>75</v>
      </c>
      <c r="AM79" s="97" t="s">
        <v>76</v>
      </c>
      <c r="AN79" s="97" t="s">
        <v>77</v>
      </c>
      <c r="AO79" s="98" t="s">
        <v>78</v>
      </c>
      <c r="AP79" s="98" t="s">
        <v>79</v>
      </c>
      <c r="AQ79" s="98" t="s">
        <v>80</v>
      </c>
      <c r="AR79" s="98" t="s">
        <v>81</v>
      </c>
    </row>
    <row r="80" customFormat="false" ht="31.5" hidden="true" customHeight="true" outlineLevel="0" collapsed="false">
      <c r="B80" s="99" t="s">
        <v>3</v>
      </c>
      <c r="C80" s="100" t="s">
        <v>82</v>
      </c>
      <c r="D80" s="100" t="s">
        <v>83</v>
      </c>
      <c r="E80" s="100" t="s">
        <v>84</v>
      </c>
      <c r="M80" s="1" t="s">
        <v>85</v>
      </c>
      <c r="T80" s="1" t="s">
        <v>86</v>
      </c>
      <c r="Y80" s="1" t="s">
        <v>87</v>
      </c>
      <c r="AC80" s="94" t="s">
        <v>88</v>
      </c>
      <c r="AE80" s="95"/>
      <c r="AF80" s="96" t="s">
        <v>89</v>
      </c>
      <c r="AG80" s="97" t="s">
        <v>71</v>
      </c>
      <c r="AH80" s="97" t="s">
        <v>73</v>
      </c>
      <c r="AI80" s="98" t="s">
        <v>75</v>
      </c>
      <c r="AJ80" s="98" t="s">
        <v>77</v>
      </c>
      <c r="AK80" s="98" t="s">
        <v>79</v>
      </c>
      <c r="AL80" s="98" t="s">
        <v>81</v>
      </c>
      <c r="AM80" s="98" t="s">
        <v>90</v>
      </c>
      <c r="AN80" s="98" t="s">
        <v>90</v>
      </c>
      <c r="AO80" s="98" t="s">
        <v>90</v>
      </c>
      <c r="AP80" s="98" t="s">
        <v>90</v>
      </c>
      <c r="AQ80" s="98" t="s">
        <v>90</v>
      </c>
      <c r="AR80" s="98" t="s">
        <v>90</v>
      </c>
    </row>
    <row r="81" customFormat="false" ht="21.75" hidden="true" customHeight="true" outlineLevel="0" collapsed="false">
      <c r="B81" s="99"/>
      <c r="C81" s="100" t="s">
        <v>5</v>
      </c>
      <c r="D81" s="100" t="s">
        <v>91</v>
      </c>
      <c r="E81" s="100" t="s">
        <v>92</v>
      </c>
      <c r="M81" s="1" t="s">
        <v>93</v>
      </c>
      <c r="T81" s="1" t="s">
        <v>94</v>
      </c>
      <c r="Y81" s="1" t="s">
        <v>95</v>
      </c>
      <c r="AC81" s="94" t="s">
        <v>96</v>
      </c>
      <c r="AE81" s="95"/>
      <c r="AF81" s="96" t="s">
        <v>97</v>
      </c>
      <c r="AG81" s="97" t="s">
        <v>72</v>
      </c>
      <c r="AH81" s="97" t="s">
        <v>75</v>
      </c>
      <c r="AI81" s="98" t="s">
        <v>78</v>
      </c>
      <c r="AJ81" s="98" t="s">
        <v>81</v>
      </c>
      <c r="AK81" s="98" t="s">
        <v>90</v>
      </c>
      <c r="AL81" s="98" t="s">
        <v>90</v>
      </c>
      <c r="AM81" s="98" t="s">
        <v>90</v>
      </c>
      <c r="AN81" s="98" t="s">
        <v>90</v>
      </c>
      <c r="AO81" s="98" t="s">
        <v>90</v>
      </c>
      <c r="AP81" s="98" t="s">
        <v>90</v>
      </c>
      <c r="AQ81" s="98" t="s">
        <v>90</v>
      </c>
      <c r="AR81" s="98" t="s">
        <v>90</v>
      </c>
    </row>
    <row r="82" customFormat="false" ht="22.5" hidden="true" customHeight="true" outlineLevel="0" collapsed="false">
      <c r="B82" s="99"/>
      <c r="C82" s="100" t="s">
        <v>98</v>
      </c>
      <c r="D82" s="100" t="s">
        <v>91</v>
      </c>
      <c r="E82" s="100" t="s">
        <v>99</v>
      </c>
      <c r="M82" s="1" t="s">
        <v>28</v>
      </c>
      <c r="T82" s="1" t="s">
        <v>100</v>
      </c>
      <c r="Y82" s="1" t="s">
        <v>101</v>
      </c>
      <c r="AC82" s="94" t="s">
        <v>102</v>
      </c>
      <c r="AE82" s="95"/>
      <c r="AF82" s="96" t="s">
        <v>103</v>
      </c>
      <c r="AG82" s="98" t="s">
        <v>73</v>
      </c>
      <c r="AH82" s="98" t="s">
        <v>77</v>
      </c>
      <c r="AI82" s="98" t="s">
        <v>81</v>
      </c>
      <c r="AJ82" s="98" t="s">
        <v>90</v>
      </c>
      <c r="AK82" s="98" t="s">
        <v>90</v>
      </c>
      <c r="AL82" s="98" t="s">
        <v>90</v>
      </c>
      <c r="AM82" s="98" t="s">
        <v>90</v>
      </c>
      <c r="AN82" s="98" t="s">
        <v>90</v>
      </c>
      <c r="AO82" s="98" t="s">
        <v>90</v>
      </c>
      <c r="AP82" s="98" t="s">
        <v>90</v>
      </c>
      <c r="AQ82" s="98" t="s">
        <v>90</v>
      </c>
      <c r="AR82" s="98" t="s">
        <v>90</v>
      </c>
    </row>
    <row r="83" customFormat="false" ht="15" hidden="true" customHeight="true" outlineLevel="0" collapsed="false">
      <c r="B83" s="101"/>
      <c r="T83" s="1" t="s">
        <v>104</v>
      </c>
      <c r="Y83" s="1" t="s">
        <v>105</v>
      </c>
      <c r="AC83" s="94" t="s">
        <v>106</v>
      </c>
      <c r="AE83" s="95"/>
      <c r="AF83" s="96" t="s">
        <v>107</v>
      </c>
      <c r="AG83" s="98" t="s">
        <v>75</v>
      </c>
      <c r="AH83" s="98" t="s">
        <v>81</v>
      </c>
      <c r="AI83" s="98" t="s">
        <v>90</v>
      </c>
      <c r="AJ83" s="98" t="s">
        <v>90</v>
      </c>
      <c r="AK83" s="98" t="s">
        <v>90</v>
      </c>
      <c r="AL83" s="98" t="s">
        <v>90</v>
      </c>
      <c r="AM83" s="98" t="s">
        <v>90</v>
      </c>
      <c r="AN83" s="98" t="s">
        <v>90</v>
      </c>
      <c r="AO83" s="98" t="s">
        <v>90</v>
      </c>
      <c r="AP83" s="98" t="s">
        <v>90</v>
      </c>
      <c r="AQ83" s="98" t="s">
        <v>90</v>
      </c>
      <c r="AR83" s="98" t="s">
        <v>90</v>
      </c>
    </row>
    <row r="84" customFormat="false" ht="15" hidden="true" customHeight="true" outlineLevel="0" collapsed="false">
      <c r="B84" s="102" t="s">
        <v>108</v>
      </c>
      <c r="C84" s="103" t="s">
        <v>109</v>
      </c>
      <c r="D84" s="104"/>
      <c r="E84" s="104"/>
      <c r="F84" s="104"/>
      <c r="G84" s="104"/>
      <c r="H84" s="104"/>
      <c r="I84" s="104"/>
      <c r="J84" s="104"/>
      <c r="K84" s="104"/>
      <c r="L84" s="104"/>
      <c r="M84" s="105"/>
      <c r="N84" s="104"/>
      <c r="O84" s="104"/>
      <c r="P84" s="104"/>
      <c r="T84" s="1" t="s">
        <v>110</v>
      </c>
      <c r="Y84" s="1" t="s">
        <v>111</v>
      </c>
      <c r="AC84" s="94" t="s">
        <v>112</v>
      </c>
      <c r="AF84" s="96" t="s">
        <v>113</v>
      </c>
      <c r="AG84" s="97" t="s">
        <v>70</v>
      </c>
      <c r="AH84" s="97" t="s">
        <v>71</v>
      </c>
      <c r="AI84" s="98" t="s">
        <v>72</v>
      </c>
      <c r="AJ84" s="98" t="s">
        <v>73</v>
      </c>
      <c r="AK84" s="98" t="s">
        <v>74</v>
      </c>
      <c r="AL84" s="98" t="s">
        <v>75</v>
      </c>
      <c r="AM84" s="97" t="s">
        <v>76</v>
      </c>
      <c r="AN84" s="97" t="s">
        <v>77</v>
      </c>
      <c r="AO84" s="98" t="s">
        <v>78</v>
      </c>
      <c r="AP84" s="98" t="s">
        <v>79</v>
      </c>
      <c r="AQ84" s="98" t="s">
        <v>80</v>
      </c>
      <c r="AR84" s="98" t="s">
        <v>81</v>
      </c>
    </row>
    <row r="85" customFormat="false" ht="12.75" hidden="true" customHeight="false" outlineLevel="0" collapsed="false">
      <c r="B85" s="106" t="n">
        <v>1</v>
      </c>
      <c r="C85" s="1" t="s">
        <v>114</v>
      </c>
      <c r="T85" s="1" t="s">
        <v>115</v>
      </c>
      <c r="Y85" s="1" t="s">
        <v>116</v>
      </c>
      <c r="AC85" s="94" t="s">
        <v>117</v>
      </c>
    </row>
    <row r="86" customFormat="false" ht="12.75" hidden="true" customHeight="false" outlineLevel="0" collapsed="false">
      <c r="B86" s="106" t="n">
        <v>2</v>
      </c>
      <c r="C86" s="1" t="s">
        <v>118</v>
      </c>
      <c r="T86" s="1" t="s">
        <v>119</v>
      </c>
      <c r="Y86" s="1" t="s">
        <v>120</v>
      </c>
      <c r="AC86" s="94" t="s">
        <v>121</v>
      </c>
    </row>
    <row r="87" customFormat="false" ht="12.75" hidden="true" customHeight="false" outlineLevel="0" collapsed="false">
      <c r="B87" s="106" t="n">
        <v>3</v>
      </c>
      <c r="C87" s="1" t="s">
        <v>122</v>
      </c>
      <c r="T87" s="1" t="s">
        <v>123</v>
      </c>
      <c r="Y87" s="1" t="s">
        <v>124</v>
      </c>
      <c r="AC87" s="94" t="s">
        <v>125</v>
      </c>
    </row>
    <row r="88" customFormat="false" ht="12.75" hidden="true" customHeight="false" outlineLevel="0" collapsed="false">
      <c r="B88" s="106" t="n">
        <v>4</v>
      </c>
      <c r="C88" s="1" t="s">
        <v>126</v>
      </c>
      <c r="T88" s="1" t="s">
        <v>127</v>
      </c>
      <c r="Y88" s="1" t="s">
        <v>128</v>
      </c>
      <c r="AC88" s="94" t="s">
        <v>129</v>
      </c>
    </row>
    <row r="89" customFormat="false" ht="12.75" hidden="true" customHeight="false" outlineLevel="0" collapsed="false">
      <c r="B89" s="106" t="n">
        <v>5</v>
      </c>
      <c r="C89" s="1" t="s">
        <v>130</v>
      </c>
      <c r="T89" s="1" t="s">
        <v>131</v>
      </c>
      <c r="Y89" s="1" t="s">
        <v>132</v>
      </c>
      <c r="AC89" s="94" t="s">
        <v>133</v>
      </c>
    </row>
    <row r="90" customFormat="false" ht="12.75" hidden="true" customHeight="false" outlineLevel="0" collapsed="false">
      <c r="B90" s="106" t="n">
        <v>6</v>
      </c>
      <c r="C90" s="1" t="s">
        <v>134</v>
      </c>
      <c r="T90" s="1" t="s">
        <v>135</v>
      </c>
      <c r="Y90" s="1" t="s">
        <v>136</v>
      </c>
      <c r="AC90" s="94" t="s">
        <v>137</v>
      </c>
    </row>
    <row r="91" customFormat="false" ht="12.75" hidden="true" customHeight="false" outlineLevel="0" collapsed="false">
      <c r="B91" s="106" t="n">
        <v>7</v>
      </c>
      <c r="C91" s="1" t="s">
        <v>138</v>
      </c>
      <c r="F91" s="107"/>
      <c r="T91" s="1" t="s">
        <v>30</v>
      </c>
      <c r="Y91" s="1" t="s">
        <v>139</v>
      </c>
      <c r="AC91" s="94" t="s">
        <v>140</v>
      </c>
    </row>
    <row r="92" customFormat="false" ht="12.75" hidden="true" customHeight="false" outlineLevel="0" collapsed="false">
      <c r="B92" s="108" t="n">
        <v>8</v>
      </c>
      <c r="C92" s="109" t="s">
        <v>141</v>
      </c>
      <c r="D92" s="109"/>
      <c r="E92" s="109"/>
      <c r="F92" s="110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Y92" s="1" t="s">
        <v>142</v>
      </c>
      <c r="AC92" s="94" t="s">
        <v>143</v>
      </c>
    </row>
    <row r="93" customFormat="false" ht="12.75" hidden="true" customHeight="false" outlineLevel="0" collapsed="false">
      <c r="G93" s="107"/>
      <c r="Y93" s="1" t="s">
        <v>144</v>
      </c>
      <c r="AC93" s="94" t="s">
        <v>34</v>
      </c>
    </row>
    <row r="94" customFormat="false" ht="12.75" hidden="true" customHeight="false" outlineLevel="0" collapsed="false">
      <c r="G94" s="107"/>
      <c r="Y94" s="1" t="s">
        <v>145</v>
      </c>
      <c r="AC94" s="94" t="s">
        <v>146</v>
      </c>
    </row>
    <row r="95" customFormat="false" ht="12.75" hidden="true" customHeight="false" outlineLevel="0" collapsed="false">
      <c r="G95" s="107"/>
      <c r="Y95" s="1" t="s">
        <v>147</v>
      </c>
      <c r="AC95" s="94" t="s">
        <v>148</v>
      </c>
    </row>
    <row r="96" customFormat="false" ht="12.75" hidden="true" customHeight="false" outlineLevel="0" collapsed="false">
      <c r="G96" s="107"/>
      <c r="Y96" s="1" t="s">
        <v>149</v>
      </c>
      <c r="AC96" s="94" t="s">
        <v>150</v>
      </c>
    </row>
    <row r="97" customFormat="false" ht="12.75" hidden="true" customHeight="false" outlineLevel="0" collapsed="false">
      <c r="G97" s="107"/>
      <c r="Y97" s="1" t="s">
        <v>32</v>
      </c>
      <c r="AC97" s="94" t="s">
        <v>151</v>
      </c>
    </row>
    <row r="98" customFormat="false" ht="12.75" hidden="true" customHeight="false" outlineLevel="0" collapsed="false">
      <c r="G98" s="107"/>
      <c r="AC98" s="94" t="s">
        <v>152</v>
      </c>
    </row>
    <row r="99" customFormat="false" ht="12.75" hidden="true" customHeight="false" outlineLevel="0" collapsed="false">
      <c r="G99" s="2"/>
      <c r="AC99" s="94" t="s">
        <v>153</v>
      </c>
    </row>
    <row r="100" customFormat="false" ht="12.75" hidden="true" customHeight="false" outlineLevel="0" collapsed="false">
      <c r="G100" s="2"/>
      <c r="AC100" s="94" t="s">
        <v>154</v>
      </c>
    </row>
    <row r="101" customFormat="false" ht="12.75" hidden="true" customHeight="false" outlineLevel="0" collapsed="false">
      <c r="G101" s="2"/>
      <c r="AC101" s="94" t="s">
        <v>155</v>
      </c>
    </row>
    <row r="102" customFormat="false" ht="12.75" hidden="true" customHeight="false" outlineLevel="0" collapsed="false">
      <c r="G102" s="2"/>
      <c r="AC102" s="94" t="s">
        <v>156</v>
      </c>
    </row>
    <row r="103" customFormat="false" ht="12.75" hidden="true" customHeight="false" outlineLevel="0" collapsed="false">
      <c r="G103" s="2"/>
      <c r="AC103" s="94" t="s">
        <v>157</v>
      </c>
    </row>
    <row r="104" customFormat="false" ht="12.75" hidden="true" customHeight="false" outlineLevel="0" collapsed="false">
      <c r="G104" s="2"/>
      <c r="AC104" s="94"/>
    </row>
    <row r="105" customFormat="false" ht="12.75" hidden="true" customHeight="false" outlineLevel="0" collapsed="false"/>
    <row r="106" customFormat="false" ht="12.75" hidden="true" customHeight="false" outlineLevel="0" collapsed="false"/>
    <row r="107" customFormat="false" ht="12.75" hidden="true" customHeight="false" outlineLevel="0" collapsed="false"/>
    <row r="108" customFormat="false" ht="12.75" hidden="true" customHeight="false" outlineLevel="0" collapsed="false"/>
    <row r="109" customFormat="false" ht="12.75" hidden="true" customHeight="false" outlineLevel="0" collapsed="false"/>
    <row r="110" customFormat="false" ht="12.75" hidden="true" customHeight="false" outlineLevel="0" collapsed="false"/>
    <row r="111" customFormat="false" ht="12.75" hidden="true" customHeight="false" outlineLevel="0" collapsed="false"/>
    <row r="112" customFormat="false" ht="12.75" hidden="true" customHeight="false" outlineLevel="0" collapsed="false"/>
    <row r="113" customFormat="false" ht="12.75" hidden="true" customHeight="false" outlineLevel="0" collapsed="false"/>
    <row r="114" customFormat="false" ht="12.75" hidden="true" customHeight="false" outlineLevel="0" collapsed="false"/>
    <row r="115" customFormat="false" ht="12.75" hidden="true" customHeight="false" outlineLevel="0" collapsed="false"/>
    <row r="116" customFormat="false" ht="12.75" hidden="true" customHeight="false" outlineLevel="0" collapsed="false"/>
    <row r="117" customFormat="false" ht="12.75" hidden="true" customHeight="false" outlineLevel="0" collapsed="false"/>
    <row r="118" customFormat="false" ht="12.75" hidden="true" customHeight="false" outlineLevel="0" collapsed="false"/>
    <row r="119" customFormat="false" ht="12.75" hidden="true" customHeight="false" outlineLevel="0" collapsed="false"/>
    <row r="120" customFormat="false" ht="12.75" hidden="true" customHeight="false" outlineLevel="0" collapsed="false"/>
    <row r="251" customFormat="false" ht="12.75" hidden="false" customHeight="false" outlineLevel="0" collapsed="false">
      <c r="A251" s="106" t="s">
        <v>158</v>
      </c>
    </row>
    <row r="253" customFormat="false" ht="12.75" hidden="false" customHeight="false" outlineLevel="0" collapsed="false">
      <c r="F253" s="2" t="s">
        <v>159</v>
      </c>
      <c r="P253" s="33" t="s">
        <v>160</v>
      </c>
      <c r="Q253" s="33" t="s">
        <v>161</v>
      </c>
    </row>
    <row r="254" customFormat="false" ht="15.75" hidden="false" customHeight="true" outlineLevel="0" collapsed="false">
      <c r="F254" s="2" t="s">
        <v>162</v>
      </c>
      <c r="O254" s="111"/>
      <c r="P254" s="33"/>
      <c r="Q254" s="33" t="n">
        <v>5</v>
      </c>
    </row>
    <row r="255" customFormat="false" ht="15.75" hidden="false" customHeight="true" outlineLevel="0" collapsed="false">
      <c r="F255" s="2" t="s">
        <v>163</v>
      </c>
      <c r="O255" s="112"/>
      <c r="P255" s="33" t="n">
        <v>5</v>
      </c>
      <c r="Q255" s="33" t="n">
        <v>10</v>
      </c>
    </row>
    <row r="256" customFormat="false" ht="15.75" hidden="false" customHeight="true" outlineLevel="0" collapsed="false">
      <c r="F256" s="2" t="s">
        <v>164</v>
      </c>
      <c r="O256" s="113"/>
      <c r="P256" s="33" t="n">
        <v>10</v>
      </c>
      <c r="Q256" s="33" t="n">
        <v>40</v>
      </c>
    </row>
    <row r="257" customFormat="false" ht="15.75" hidden="false" customHeight="true" outlineLevel="0" collapsed="false">
      <c r="F257" s="2" t="s">
        <v>165</v>
      </c>
      <c r="O257" s="112"/>
      <c r="P257" s="33" t="n">
        <v>40</v>
      </c>
      <c r="Q257" s="33" t="n">
        <v>50</v>
      </c>
    </row>
    <row r="258" customFormat="false" ht="15.75" hidden="false" customHeight="true" outlineLevel="0" collapsed="false">
      <c r="F258" s="2" t="s">
        <v>166</v>
      </c>
      <c r="O258" s="111"/>
      <c r="P258" s="33" t="n">
        <v>50</v>
      </c>
      <c r="Q258" s="33"/>
    </row>
    <row r="259" customFormat="false" ht="12.75" hidden="false" customHeight="false" outlineLevel="0" collapsed="false">
      <c r="F259" s="2" t="s">
        <v>167</v>
      </c>
    </row>
    <row r="260" customFormat="false" ht="12.75" hidden="false" customHeight="false" outlineLevel="0" collapsed="false">
      <c r="F260" s="2" t="s">
        <v>168</v>
      </c>
    </row>
    <row r="261" customFormat="false" ht="12.75" hidden="false" customHeight="false" outlineLevel="0" collapsed="false">
      <c r="F261" s="2" t="s">
        <v>169</v>
      </c>
    </row>
    <row r="262" customFormat="false" ht="12.75" hidden="false" customHeight="false" outlineLevel="0" collapsed="false">
      <c r="F262" s="2" t="s">
        <v>170</v>
      </c>
    </row>
    <row r="263" customFormat="false" ht="12.75" hidden="false" customHeight="false" outlineLevel="0" collapsed="false">
      <c r="F263" s="2" t="s">
        <v>171</v>
      </c>
    </row>
    <row r="264" customFormat="false" ht="12.75" hidden="false" customHeight="false" outlineLevel="0" collapsed="false">
      <c r="F264" s="2" t="s">
        <v>172</v>
      </c>
    </row>
    <row r="265" customFormat="false" ht="12.75" hidden="false" customHeight="false" outlineLevel="0" collapsed="false">
      <c r="F265" s="2" t="s">
        <v>173</v>
      </c>
    </row>
    <row r="266" customFormat="false" ht="12.75" hidden="false" customHeight="false" outlineLevel="0" collapsed="false">
      <c r="F266" s="2" t="s">
        <v>174</v>
      </c>
    </row>
    <row r="267" customFormat="false" ht="12.75" hidden="false" customHeight="false" outlineLevel="0" collapsed="false">
      <c r="F267" s="2" t="s">
        <v>175</v>
      </c>
    </row>
    <row r="268" customFormat="false" ht="12.75" hidden="false" customHeight="false" outlineLevel="0" collapsed="false">
      <c r="F268" s="2" t="s">
        <v>176</v>
      </c>
    </row>
    <row r="269" customFormat="false" ht="12.75" hidden="false" customHeight="false" outlineLevel="0" collapsed="false">
      <c r="F269" s="2" t="s">
        <v>177</v>
      </c>
    </row>
    <row r="270" customFormat="false" ht="12.75" hidden="false" customHeight="false" outlineLevel="0" collapsed="false">
      <c r="F270" s="2" t="s">
        <v>178</v>
      </c>
    </row>
    <row r="271" customFormat="false" ht="12.75" hidden="false" customHeight="false" outlineLevel="0" collapsed="false">
      <c r="F271" s="2" t="s">
        <v>179</v>
      </c>
    </row>
    <row r="272" customFormat="false" ht="12.75" hidden="false" customHeight="false" outlineLevel="0" collapsed="false">
      <c r="F272" s="2" t="s">
        <v>180</v>
      </c>
    </row>
    <row r="273" customFormat="false" ht="12.75" hidden="false" customHeight="false" outlineLevel="0" collapsed="false">
      <c r="F273" s="2" t="s">
        <v>127</v>
      </c>
    </row>
    <row r="274" customFormat="false" ht="12.75" hidden="false" customHeight="false" outlineLevel="0" collapsed="false">
      <c r="F274" s="2" t="s">
        <v>181</v>
      </c>
    </row>
    <row r="275" customFormat="false" ht="12.75" hidden="false" customHeight="false" outlineLevel="0" collapsed="false">
      <c r="F275" s="2" t="s">
        <v>182</v>
      </c>
    </row>
    <row r="276" customFormat="false" ht="12.75" hidden="false" customHeight="false" outlineLevel="0" collapsed="false">
      <c r="F276" s="2" t="s">
        <v>183</v>
      </c>
    </row>
    <row r="277" customFormat="false" ht="12.75" hidden="false" customHeight="false" outlineLevel="0" collapsed="false">
      <c r="F277" s="2" t="s">
        <v>184</v>
      </c>
    </row>
    <row r="278" customFormat="false" ht="12.75" hidden="false" customHeight="false" outlineLevel="0" collapsed="false">
      <c r="F278" s="2" t="s">
        <v>185</v>
      </c>
    </row>
    <row r="279" customFormat="false" ht="12.75" hidden="false" customHeight="false" outlineLevel="0" collapsed="false">
      <c r="F279" s="2" t="s">
        <v>186</v>
      </c>
    </row>
    <row r="280" customFormat="false" ht="12.75" hidden="false" customHeight="false" outlineLevel="0" collapsed="false">
      <c r="F280" s="2" t="s">
        <v>6</v>
      </c>
    </row>
    <row r="281" customFormat="false" ht="12.75" hidden="false" customHeight="false" outlineLevel="0" collapsed="false">
      <c r="F281" s="2" t="s">
        <v>187</v>
      </c>
    </row>
    <row r="282" customFormat="false" ht="12.75" hidden="false" customHeight="false" outlineLevel="0" collapsed="false">
      <c r="F282" s="1" t="s">
        <v>188</v>
      </c>
    </row>
  </sheetData>
  <sheetProtection sheet="true" password="c43f" objects="true" scenarios="true" formatRows="false" autoFilter="false"/>
  <mergeCells count="154">
    <mergeCell ref="T2:W2"/>
    <mergeCell ref="B3:B5"/>
    <mergeCell ref="C3:E3"/>
    <mergeCell ref="F3:Q5"/>
    <mergeCell ref="R3:W3"/>
    <mergeCell ref="C4:E5"/>
    <mergeCell ref="R4:W5"/>
    <mergeCell ref="B6:W6"/>
    <mergeCell ref="B7:W7"/>
    <mergeCell ref="B8:W8"/>
    <mergeCell ref="B9:W9"/>
    <mergeCell ref="B10:W10"/>
    <mergeCell ref="B11:C11"/>
    <mergeCell ref="D11:R11"/>
    <mergeCell ref="S11:W11"/>
    <mergeCell ref="B12:C12"/>
    <mergeCell ref="D12:F12"/>
    <mergeCell ref="G12:J12"/>
    <mergeCell ref="K12:M12"/>
    <mergeCell ref="N12:O12"/>
    <mergeCell ref="P12:R12"/>
    <mergeCell ref="S12:U12"/>
    <mergeCell ref="B13:C15"/>
    <mergeCell ref="D13:R15"/>
    <mergeCell ref="S13:U13"/>
    <mergeCell ref="B16:C16"/>
    <mergeCell ref="D16:R16"/>
    <mergeCell ref="S16:U16"/>
    <mergeCell ref="V16:W16"/>
    <mergeCell ref="B17:W17"/>
    <mergeCell ref="B18:C18"/>
    <mergeCell ref="D18:H18"/>
    <mergeCell ref="I18:L18"/>
    <mergeCell ref="M18:P18"/>
    <mergeCell ref="Q18:S18"/>
    <mergeCell ref="T18:W18"/>
    <mergeCell ref="B19:C19"/>
    <mergeCell ref="D19:H19"/>
    <mergeCell ref="I19:L19"/>
    <mergeCell ref="M19:P19"/>
    <mergeCell ref="Q19:S19"/>
    <mergeCell ref="T19:W19"/>
    <mergeCell ref="B20:W20"/>
    <mergeCell ref="B21:C21"/>
    <mergeCell ref="F21:G21"/>
    <mergeCell ref="H21:J21"/>
    <mergeCell ref="L21:M21"/>
    <mergeCell ref="N21:O21"/>
    <mergeCell ref="P21:Q21"/>
    <mergeCell ref="R21:S21"/>
    <mergeCell ref="T21:U21"/>
    <mergeCell ref="B22:C22"/>
    <mergeCell ref="F22:G22"/>
    <mergeCell ref="H22:J22"/>
    <mergeCell ref="L22:M22"/>
    <mergeCell ref="N22:O22"/>
    <mergeCell ref="P22:Q22"/>
    <mergeCell ref="R22:S22"/>
    <mergeCell ref="T22:U22"/>
    <mergeCell ref="B23:C23"/>
    <mergeCell ref="F23:G23"/>
    <mergeCell ref="H23:J23"/>
    <mergeCell ref="L23:M23"/>
    <mergeCell ref="N23:O23"/>
    <mergeCell ref="P23:Q23"/>
    <mergeCell ref="R23:S23"/>
    <mergeCell ref="T23:U23"/>
    <mergeCell ref="B24:W24"/>
    <mergeCell ref="G25:M25"/>
    <mergeCell ref="N25:O26"/>
    <mergeCell ref="P25:R26"/>
    <mergeCell ref="S25:W25"/>
    <mergeCell ref="G26:M26"/>
    <mergeCell ref="S26:W37"/>
    <mergeCell ref="G27:M27"/>
    <mergeCell ref="N27:O27"/>
    <mergeCell ref="P27:R27"/>
    <mergeCell ref="G28:M28"/>
    <mergeCell ref="N28:O28"/>
    <mergeCell ref="P28:R28"/>
    <mergeCell ref="G29:M29"/>
    <mergeCell ref="N29:O29"/>
    <mergeCell ref="P29:R29"/>
    <mergeCell ref="G30:M30"/>
    <mergeCell ref="N30:O30"/>
    <mergeCell ref="P30:R30"/>
    <mergeCell ref="G31:M31"/>
    <mergeCell ref="N31:O31"/>
    <mergeCell ref="P31:R31"/>
    <mergeCell ref="G32:M32"/>
    <mergeCell ref="N32:O32"/>
    <mergeCell ref="P32:R32"/>
    <mergeCell ref="G33:M33"/>
    <mergeCell ref="N33:O33"/>
    <mergeCell ref="P33:R33"/>
    <mergeCell ref="G34:M34"/>
    <mergeCell ref="N34:O34"/>
    <mergeCell ref="P34:R34"/>
    <mergeCell ref="G35:M35"/>
    <mergeCell ref="N35:O35"/>
    <mergeCell ref="P35:R35"/>
    <mergeCell ref="G36:M36"/>
    <mergeCell ref="N36:O36"/>
    <mergeCell ref="P36:R36"/>
    <mergeCell ref="G37:M37"/>
    <mergeCell ref="N37:O37"/>
    <mergeCell ref="P37:R37"/>
    <mergeCell ref="B38:W39"/>
    <mergeCell ref="B40:W40"/>
    <mergeCell ref="B41:C41"/>
    <mergeCell ref="D41:L41"/>
    <mergeCell ref="M41:W41"/>
    <mergeCell ref="B42:C42"/>
    <mergeCell ref="D42:L42"/>
    <mergeCell ref="M42:W42"/>
    <mergeCell ref="B43:C43"/>
    <mergeCell ref="D43:L43"/>
    <mergeCell ref="M43:W43"/>
    <mergeCell ref="B44:C44"/>
    <mergeCell ref="D44:L44"/>
    <mergeCell ref="M44:W44"/>
    <mergeCell ref="B45:C45"/>
    <mergeCell ref="D45:L45"/>
    <mergeCell ref="M45:W45"/>
    <mergeCell ref="B46:C46"/>
    <mergeCell ref="D46:L46"/>
    <mergeCell ref="M46:W46"/>
    <mergeCell ref="B47:C47"/>
    <mergeCell ref="D47:L47"/>
    <mergeCell ref="M47:W47"/>
    <mergeCell ref="B48:C48"/>
    <mergeCell ref="D48:L48"/>
    <mergeCell ref="M48:W48"/>
    <mergeCell ref="B49:C49"/>
    <mergeCell ref="D49:L49"/>
    <mergeCell ref="M49:W49"/>
    <mergeCell ref="B50:C50"/>
    <mergeCell ref="D50:L50"/>
    <mergeCell ref="M50:W50"/>
    <mergeCell ref="B51:C51"/>
    <mergeCell ref="D51:L51"/>
    <mergeCell ref="M51:W51"/>
    <mergeCell ref="B52:C52"/>
    <mergeCell ref="D52:L52"/>
    <mergeCell ref="M52:W52"/>
    <mergeCell ref="B53:C53"/>
    <mergeCell ref="D53:L53"/>
    <mergeCell ref="M53:W53"/>
    <mergeCell ref="B54:W54"/>
    <mergeCell ref="B55:W59"/>
    <mergeCell ref="D78:E78"/>
    <mergeCell ref="AG78:AH78"/>
    <mergeCell ref="AE79:AE83"/>
    <mergeCell ref="B80:B82"/>
  </mergeCells>
  <conditionalFormatting sqref="C37">
    <cfRule type="expression" priority="2" aboveAverage="0" equalAverage="0" bottom="0" percent="0" rank="0" text="" dxfId="0">
      <formula>OR(ISBLANK($W$22),ISBLANK($W$23))</formula>
    </cfRule>
    <cfRule type="cellIs" priority="3" operator="lessThan" aboveAverage="0" equalAverage="0" bottom="0" percent="0" rank="0" text="" dxfId="1">
      <formula>$V$14</formula>
    </cfRule>
    <cfRule type="cellIs" priority="4" operator="lessThan" aboveAverage="0" equalAverage="0" bottom="0" percent="0" rank="0" text="" dxfId="2">
      <formula>$V$13</formula>
    </cfRule>
    <cfRule type="cellIs" priority="5" operator="between" aboveAverage="0" equalAverage="0" bottom="0" percent="0" rank="0" text="" dxfId="3">
      <formula>$V$13</formula>
      <formula>$W$13</formula>
    </cfRule>
    <cfRule type="cellIs" priority="6" operator="lessThanOrEqual" aboveAverage="0" equalAverage="0" bottom="0" percent="0" rank="0" text="" dxfId="2">
      <formula>$W$14</formula>
    </cfRule>
    <cfRule type="cellIs" priority="7" operator="greaterThan" aboveAverage="0" equalAverage="0" bottom="0" percent="0" rank="0" text="" dxfId="1">
      <formula>$W$14</formula>
    </cfRule>
  </conditionalFormatting>
  <conditionalFormatting sqref="C36">
    <cfRule type="expression" priority="8" aboveAverage="0" equalAverage="0" bottom="0" percent="0" rank="0" text="" dxfId="0">
      <formula>OR(ISBLANK($V$22),ISBLANK($V$23))</formula>
    </cfRule>
    <cfRule type="cellIs" priority="9" operator="lessThan" aboveAverage="0" equalAverage="0" bottom="0" percent="0" rank="0" text="" dxfId="1">
      <formula>$V$14</formula>
    </cfRule>
    <cfRule type="cellIs" priority="10" operator="lessThan" aboveAverage="0" equalAverage="0" bottom="0" percent="0" rank="0" text="" dxfId="2">
      <formula>$V$13</formula>
    </cfRule>
    <cfRule type="cellIs" priority="11" operator="between" aboveAverage="0" equalAverage="0" bottom="0" percent="0" rank="0" text="" dxfId="3">
      <formula>$V$13</formula>
      <formula>$W$13</formula>
    </cfRule>
    <cfRule type="cellIs" priority="12" operator="lessThanOrEqual" aboveAverage="0" equalAverage="0" bottom="0" percent="0" rank="0" text="" dxfId="2">
      <formula>$W$14</formula>
    </cfRule>
    <cfRule type="cellIs" priority="13" operator="greaterThan" aboveAverage="0" equalAverage="0" bottom="0" percent="0" rank="0" text="" dxfId="1">
      <formula>$W$14</formula>
    </cfRule>
  </conditionalFormatting>
  <conditionalFormatting sqref="C35">
    <cfRule type="expression" priority="14" aboveAverage="0" equalAverage="0" bottom="0" percent="0" rank="0" text="" dxfId="0">
      <formula>OR(ISBLANK($T$22),ISBLANK($T$23))</formula>
    </cfRule>
    <cfRule type="cellIs" priority="15" operator="lessThan" aboveAverage="0" equalAverage="0" bottom="0" percent="0" rank="0" text="" dxfId="1">
      <formula>$V$14</formula>
    </cfRule>
    <cfRule type="cellIs" priority="16" operator="lessThan" aboveAverage="0" equalAverage="0" bottom="0" percent="0" rank="0" text="" dxfId="2">
      <formula>$V$13</formula>
    </cfRule>
    <cfRule type="cellIs" priority="17" operator="between" aboveAverage="0" equalAverage="0" bottom="0" percent="0" rank="0" text="" dxfId="3">
      <formula>$V$13</formula>
      <formula>$W$13</formula>
    </cfRule>
    <cfRule type="cellIs" priority="18" operator="lessThanOrEqual" aboveAverage="0" equalAverage="0" bottom="0" percent="0" rank="0" text="" dxfId="2">
      <formula>$W$14</formula>
    </cfRule>
    <cfRule type="cellIs" priority="19" operator="greaterThan" aboveAverage="0" equalAverage="0" bottom="0" percent="0" rank="0" text="" dxfId="1">
      <formula>$W$14</formula>
    </cfRule>
  </conditionalFormatting>
  <conditionalFormatting sqref="C34">
    <cfRule type="expression" priority="20" aboveAverage="0" equalAverage="0" bottom="0" percent="0" rank="0" text="" dxfId="0">
      <formula>OR(ISBLANK($R$22),ISBLANK($R$23))</formula>
    </cfRule>
    <cfRule type="cellIs" priority="21" operator="lessThan" aboveAverage="0" equalAverage="0" bottom="0" percent="0" rank="0" text="" dxfId="1">
      <formula>$V$14</formula>
    </cfRule>
    <cfRule type="cellIs" priority="22" operator="lessThan" aboveAverage="0" equalAverage="0" bottom="0" percent="0" rank="0" text="" dxfId="2">
      <formula>$V$13</formula>
    </cfRule>
    <cfRule type="cellIs" priority="23" operator="between" aboveAverage="0" equalAverage="0" bottom="0" percent="0" rank="0" text="" dxfId="3">
      <formula>$V$13</formula>
      <formula>$W$13</formula>
    </cfRule>
    <cfRule type="cellIs" priority="24" operator="lessThanOrEqual" aboveAverage="0" equalAverage="0" bottom="0" percent="0" rank="0" text="" dxfId="2">
      <formula>$W$14</formula>
    </cfRule>
    <cfRule type="cellIs" priority="25" operator="greaterThan" aboveAverage="0" equalAverage="0" bottom="0" percent="0" rank="0" text="" dxfId="1">
      <formula>$W$14</formula>
    </cfRule>
  </conditionalFormatting>
  <conditionalFormatting sqref="C33">
    <cfRule type="expression" priority="26" aboveAverage="0" equalAverage="0" bottom="0" percent="0" rank="0" text="" dxfId="0">
      <formula>OR(ISBLANK($P$22),ISBLANK($P$23))</formula>
    </cfRule>
    <cfRule type="cellIs" priority="27" operator="lessThan" aboveAverage="0" equalAverage="0" bottom="0" percent="0" rank="0" text="" dxfId="1">
      <formula>$V$14</formula>
    </cfRule>
    <cfRule type="cellIs" priority="28" operator="lessThan" aboveAverage="0" equalAverage="0" bottom="0" percent="0" rank="0" text="" dxfId="2">
      <formula>$V$13</formula>
    </cfRule>
    <cfRule type="cellIs" priority="29" operator="between" aboveAverage="0" equalAverage="0" bottom="0" percent="0" rank="0" text="" dxfId="3">
      <formula>$V$13</formula>
      <formula>$W$13</formula>
    </cfRule>
    <cfRule type="cellIs" priority="30" operator="lessThanOrEqual" aboveAverage="0" equalAverage="0" bottom="0" percent="0" rank="0" text="" dxfId="2">
      <formula>$W$14</formula>
    </cfRule>
    <cfRule type="cellIs" priority="31" operator="greaterThan" aboveAverage="0" equalAverage="0" bottom="0" percent="0" rank="0" text="" dxfId="1">
      <formula>$W$14</formula>
    </cfRule>
  </conditionalFormatting>
  <conditionalFormatting sqref="C32">
    <cfRule type="expression" priority="32" aboveAverage="0" equalAverage="0" bottom="0" percent="0" rank="0" text="" dxfId="0">
      <formula>OR(ISBLANK($N$22),ISBLANK($N$23))</formula>
    </cfRule>
    <cfRule type="cellIs" priority="33" operator="lessThan" aboveAverage="0" equalAverage="0" bottom="0" percent="0" rank="0" text="" dxfId="1">
      <formula>$V$14</formula>
    </cfRule>
    <cfRule type="cellIs" priority="34" operator="lessThan" aboveAverage="0" equalAverage="0" bottom="0" percent="0" rank="0" text="" dxfId="2">
      <formula>$V$13</formula>
    </cfRule>
    <cfRule type="cellIs" priority="35" operator="between" aboveAverage="0" equalAverage="0" bottom="0" percent="0" rank="0" text="" dxfId="3">
      <formula>$V$13</formula>
      <formula>$W$13</formula>
    </cfRule>
    <cfRule type="cellIs" priority="36" operator="lessThanOrEqual" aboveAverage="0" equalAverage="0" bottom="0" percent="0" rank="0" text="" dxfId="2">
      <formula>$W$14</formula>
    </cfRule>
    <cfRule type="cellIs" priority="37" operator="greaterThan" aboveAverage="0" equalAverage="0" bottom="0" percent="0" rank="0" text="" dxfId="1">
      <formula>$W$14</formula>
    </cfRule>
  </conditionalFormatting>
  <conditionalFormatting sqref="C31">
    <cfRule type="expression" priority="38" aboveAverage="0" equalAverage="0" bottom="0" percent="0" rank="0" text="" dxfId="0">
      <formula>OR(ISBLANK($L$22),ISBLANK($L$23))</formula>
    </cfRule>
    <cfRule type="cellIs" priority="39" operator="lessThan" aboveAverage="0" equalAverage="0" bottom="0" percent="0" rank="0" text="" dxfId="1">
      <formula>$V$14</formula>
    </cfRule>
    <cfRule type="cellIs" priority="40" operator="lessThan" aboveAverage="0" equalAverage="0" bottom="0" percent="0" rank="0" text="" dxfId="2">
      <formula>$V$13</formula>
    </cfRule>
    <cfRule type="cellIs" priority="41" operator="between" aboveAverage="0" equalAverage="0" bottom="0" percent="0" rank="0" text="" dxfId="3">
      <formula>$V$13</formula>
      <formula>$W$13</formula>
    </cfRule>
    <cfRule type="cellIs" priority="42" operator="lessThanOrEqual" aboveAverage="0" equalAverage="0" bottom="0" percent="0" rank="0" text="" dxfId="2">
      <formula>$W$14</formula>
    </cfRule>
    <cfRule type="cellIs" priority="43" operator="greaterThan" aboveAverage="0" equalAverage="0" bottom="0" percent="0" rank="0" text="" dxfId="1">
      <formula>$W$14</formula>
    </cfRule>
  </conditionalFormatting>
  <conditionalFormatting sqref="C30">
    <cfRule type="expression" priority="44" aboveAverage="0" equalAverage="0" bottom="0" percent="0" rank="0" text="" dxfId="0">
      <formula>OR(ISBLANK($K$22),ISBLANK($K$23))</formula>
    </cfRule>
    <cfRule type="cellIs" priority="45" operator="lessThan" aboveAverage="0" equalAverage="0" bottom="0" percent="0" rank="0" text="" dxfId="1">
      <formula>$V$14</formula>
    </cfRule>
    <cfRule type="cellIs" priority="46" operator="lessThan" aboveAverage="0" equalAverage="0" bottom="0" percent="0" rank="0" text="" dxfId="2">
      <formula>$V$13</formula>
    </cfRule>
    <cfRule type="cellIs" priority="47" operator="between" aboveAverage="0" equalAverage="0" bottom="0" percent="0" rank="0" text="" dxfId="3">
      <formula>$V$13</formula>
      <formula>$W$13</formula>
    </cfRule>
    <cfRule type="cellIs" priority="48" operator="lessThanOrEqual" aboveAverage="0" equalAverage="0" bottom="0" percent="0" rank="0" text="" dxfId="2">
      <formula>$W$14</formula>
    </cfRule>
    <cfRule type="cellIs" priority="49" operator="greaterThan" aboveAverage="0" equalAverage="0" bottom="0" percent="0" rank="0" text="" dxfId="1">
      <formula>$W$14</formula>
    </cfRule>
  </conditionalFormatting>
  <conditionalFormatting sqref="C29">
    <cfRule type="expression" priority="50" aboveAverage="0" equalAverage="0" bottom="0" percent="0" rank="0" text="" dxfId="0">
      <formula>OR(ISBLANK($H$22),ISBLANK($H$23))</formula>
    </cfRule>
    <cfRule type="cellIs" priority="51" operator="lessThan" aboveAverage="0" equalAverage="0" bottom="0" percent="0" rank="0" text="" dxfId="1">
      <formula>$V$14</formula>
    </cfRule>
    <cfRule type="cellIs" priority="52" operator="lessThan" aboveAverage="0" equalAverage="0" bottom="0" percent="0" rank="0" text="" dxfId="2">
      <formula>$V$13</formula>
    </cfRule>
    <cfRule type="cellIs" priority="53" operator="between" aboveAverage="0" equalAverage="0" bottom="0" percent="0" rank="0" text="" dxfId="3">
      <formula>$V$13</formula>
      <formula>$W$13</formula>
    </cfRule>
    <cfRule type="cellIs" priority="54" operator="lessThanOrEqual" aboveAverage="0" equalAverage="0" bottom="0" percent="0" rank="0" text="" dxfId="2">
      <formula>$W$14</formula>
    </cfRule>
    <cfRule type="cellIs" priority="55" operator="greaterThan" aboveAverage="0" equalAverage="0" bottom="0" percent="0" rank="0" text="" dxfId="1">
      <formula>$W$14</formula>
    </cfRule>
  </conditionalFormatting>
  <conditionalFormatting sqref="C28">
    <cfRule type="expression" priority="56" aboveAverage="0" equalAverage="0" bottom="0" percent="0" rank="0" text="" dxfId="0">
      <formula>OR(ISBLANK($F$22),ISBLANK($F$23))</formula>
    </cfRule>
    <cfRule type="cellIs" priority="57" operator="lessThan" aboveAverage="0" equalAverage="0" bottom="0" percent="0" rank="0" text="" dxfId="1">
      <formula>$V$14</formula>
    </cfRule>
    <cfRule type="cellIs" priority="58" operator="lessThan" aboveAverage="0" equalAverage="0" bottom="0" percent="0" rank="0" text="" dxfId="2">
      <formula>$V$13</formula>
    </cfRule>
    <cfRule type="cellIs" priority="59" operator="between" aboveAverage="0" equalAverage="0" bottom="0" percent="0" rank="0" text="" dxfId="3">
      <formula>$V$13</formula>
      <formula>$W$13</formula>
    </cfRule>
    <cfRule type="cellIs" priority="60" operator="lessThanOrEqual" aboveAverage="0" equalAverage="0" bottom="0" percent="0" rank="0" text="" dxfId="2">
      <formula>$W$14</formula>
    </cfRule>
    <cfRule type="cellIs" priority="61" operator="greaterThan" aboveAverage="0" equalAverage="0" bottom="0" percent="0" rank="0" text="" dxfId="1">
      <formula>$W$14</formula>
    </cfRule>
  </conditionalFormatting>
  <conditionalFormatting sqref="C27">
    <cfRule type="expression" priority="62" aboveAverage="0" equalAverage="0" bottom="0" percent="0" rank="0" text="" dxfId="0">
      <formula>OR(ISBLANK($E$22),ISBLANK($E$23))</formula>
    </cfRule>
    <cfRule type="cellIs" priority="63" operator="lessThan" aboveAverage="0" equalAverage="0" bottom="0" percent="0" rank="0" text="" dxfId="1">
      <formula>$V$14</formula>
    </cfRule>
    <cfRule type="cellIs" priority="64" operator="lessThan" aboveAverage="0" equalAverage="0" bottom="0" percent="0" rank="0" text="" dxfId="2">
      <formula>$V$13</formula>
    </cfRule>
    <cfRule type="cellIs" priority="65" operator="between" aboveAverage="0" equalAverage="0" bottom="0" percent="0" rank="0" text="" dxfId="3">
      <formula>$V$13</formula>
      <formula>$W$13</formula>
    </cfRule>
    <cfRule type="cellIs" priority="66" operator="lessThanOrEqual" aboveAverage="0" equalAverage="0" bottom="0" percent="0" rank="0" text="" dxfId="2">
      <formula>$W$14</formula>
    </cfRule>
    <cfRule type="cellIs" priority="67" operator="greaterThan" aboveAverage="0" equalAverage="0" bottom="0" percent="0" rank="0" text="" dxfId="1">
      <formula>$W$14</formula>
    </cfRule>
  </conditionalFormatting>
  <conditionalFormatting sqref="C26">
    <cfRule type="expression" priority="68" aboveAverage="0" equalAverage="0" bottom="0" percent="0" rank="0" text="" dxfId="0">
      <formula>OR(ISBLANK($D$22),ISBLANK($D$23))</formula>
    </cfRule>
    <cfRule type="cellIs" priority="69" operator="lessThan" aboveAverage="0" equalAverage="0" bottom="0" percent="0" rank="0" text="" dxfId="1">
      <formula>$V$14</formula>
    </cfRule>
    <cfRule type="cellIs" priority="70" operator="lessThan" aboveAverage="0" equalAverage="0" bottom="0" percent="0" rank="0" text="" dxfId="2">
      <formula>$V$13</formula>
    </cfRule>
    <cfRule type="cellIs" priority="71" operator="between" aboveAverage="0" equalAverage="0" bottom="0" percent="0" rank="0" text="" dxfId="3">
      <formula>$V$13</formula>
      <formula>$W$13</formula>
    </cfRule>
    <cfRule type="cellIs" priority="72" operator="lessThanOrEqual" aboveAverage="0" equalAverage="0" bottom="0" percent="0" rank="0" text="" dxfId="2">
      <formula>$W$14</formula>
    </cfRule>
    <cfRule type="cellIs" priority="73" operator="greaterThan" aboveAverage="0" equalAverage="0" bottom="0" percent="0" rank="0" text="" dxfId="1">
      <formula>$W$14</formula>
    </cfRule>
  </conditionalFormatting>
  <conditionalFormatting sqref="O256">
    <cfRule type="cellIs" priority="74" operator="equal" aboveAverage="0" equalAverage="0" bottom="0" percent="0" rank="0" text="" dxfId="4">
      <formula>$K$12</formula>
    </cfRule>
  </conditionalFormatting>
  <dataValidations count="6">
    <dataValidation allowBlank="true" errorStyle="stop" operator="between" showDropDown="false" showErrorMessage="true" showInputMessage="true" sqref="P12:R12" type="list">
      <formula1>$AF$79:$AF$84</formula1>
      <formula2>0</formula2>
    </dataValidation>
    <dataValidation allowBlank="true" errorStyle="stop" operator="between" showDropDown="false" showErrorMessage="true" showInputMessage="true" sqref="D18:H18" type="list">
      <formula1>$M$79:$M$82</formula1>
      <formula2>0</formula2>
    </dataValidation>
    <dataValidation allowBlank="true" errorStyle="stop" operator="between" showDropDown="false" showErrorMessage="true" showInputMessage="true" sqref="R4:W5" type="list">
      <formula1>$C$80:$C$82</formula1>
      <formula2>0</formula2>
    </dataValidation>
    <dataValidation allowBlank="true" errorStyle="stop" operator="between" showDropDown="false" showErrorMessage="true" showInputMessage="true" sqref="M18:P18" type="list">
      <formula1>$T$79:$T$91</formula1>
      <formula2>0</formula2>
    </dataValidation>
    <dataValidation allowBlank="true" errorStyle="stop" operator="between" showDropDown="false" showErrorMessage="true" showInputMessage="true" sqref="T18:W18" type="list">
      <formula1>$Y$79:$Y$97</formula1>
      <formula2>0</formula2>
    </dataValidation>
    <dataValidation allowBlank="true" errorStyle="stop" operator="between" showDropDown="false" showErrorMessage="true" showInputMessage="true" sqref="D19:H19 M19:P19 T19:W19" type="list">
      <formula1>$AC$79:$AC$103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2016-08-19T13:55:14Z</dcterms:created>
  <dc:creator>Constantino Chahin</dc:creator>
  <dc:description/>
  <dc:language>en-US</dc:language>
  <cp:lastModifiedBy>Nixon Garcia</cp:lastModifiedBy>
  <cp:lastPrinted>2022-01-12T12:40:40Z</cp:lastPrinted>
  <dcterms:modified xsi:type="dcterms:W3CDTF">2026-10-26T14:32:52Z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